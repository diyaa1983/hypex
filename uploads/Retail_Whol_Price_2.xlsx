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26\Desktop\"/>
    </mc:Choice>
  </mc:AlternateContent>
  <xr:revisionPtr revIDLastSave="0" documentId="13_ncr:1_{AD1D0C6A-C831-44D8-8D5B-AEC7D45678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&amp;Whol Promo" sheetId="1" r:id="rId1"/>
    <sheet name="Price LIst" sheetId="4" r:id="rId2"/>
    <sheet name="ملاح" sheetId="8" r:id="rId3"/>
    <sheet name="Order (2)" sheetId="9" r:id="rId4"/>
    <sheet name="Order" sheetId="5" r:id="rId5"/>
    <sheet name="العقرباوي مول" sheetId="6" r:id="rId6"/>
  </sheets>
  <definedNames>
    <definedName name="_xlnm._FilterDatabase" localSheetId="4" hidden="1">Order!$B$2:$H$2</definedName>
    <definedName name="_xlnm._FilterDatabase" localSheetId="3" hidden="1">'Order (2)'!$B$2:$H$2</definedName>
    <definedName name="_xlnm._FilterDatabase" localSheetId="1" hidden="1">'Price LIst'!$B$1:$I$1</definedName>
    <definedName name="_xlnm._FilterDatabase" localSheetId="0" hidden="1">'Re&amp;Whol Promo'!$A$1:$L$100</definedName>
    <definedName name="_xlnm._FilterDatabase" localSheetId="5" hidden="1">'العقرباوي مول'!$B$1:$G$1</definedName>
    <definedName name="_xlnm._FilterDatabase" localSheetId="2" hidden="1">ملاح!$A$4:$D$4</definedName>
    <definedName name="_xlnm.Print_Area" localSheetId="4">Order!$A$1:$L$101</definedName>
    <definedName name="_xlnm.Print_Area" localSheetId="3">'Order (2)'!$A$1:$L$101</definedName>
    <definedName name="_xlnm.Print_Area" localSheetId="2">ملاح!$A$4:$E$10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2" i="1"/>
  <c r="F101" i="9" l="1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E6" i="8"/>
  <c r="E7" i="8"/>
  <c r="E8" i="8"/>
  <c r="E9" i="8"/>
  <c r="E10" i="8"/>
  <c r="E5" i="8"/>
  <c r="I36" i="4" l="1"/>
  <c r="H36" i="4" s="1"/>
  <c r="I21" i="4"/>
  <c r="H21" i="4" s="1"/>
  <c r="I22" i="4"/>
  <c r="H22" i="4" s="1"/>
  <c r="F37" i="5"/>
  <c r="F22" i="5"/>
  <c r="F23" i="5"/>
  <c r="F19" i="5"/>
  <c r="F20" i="5"/>
  <c r="N24" i="1"/>
  <c r="I36" i="1"/>
  <c r="I19" i="1"/>
  <c r="I18" i="1"/>
  <c r="I22" i="1"/>
  <c r="I21" i="1"/>
  <c r="G95" i="6"/>
  <c r="F95" i="6" s="1"/>
  <c r="G94" i="6"/>
  <c r="F94" i="6" s="1"/>
  <c r="G93" i="6"/>
  <c r="F93" i="6"/>
  <c r="G92" i="6"/>
  <c r="F92" i="6"/>
  <c r="G91" i="6"/>
  <c r="F91" i="6" s="1"/>
  <c r="G90" i="6"/>
  <c r="F90" i="6"/>
  <c r="G89" i="6"/>
  <c r="F89" i="6"/>
  <c r="G88" i="6"/>
  <c r="F88" i="6"/>
  <c r="G87" i="6"/>
  <c r="F87" i="6"/>
  <c r="G86" i="6"/>
  <c r="F86" i="6"/>
  <c r="G85" i="6"/>
  <c r="F85" i="6"/>
  <c r="G84" i="6"/>
  <c r="F84" i="6"/>
  <c r="G83" i="6"/>
  <c r="F83" i="6"/>
  <c r="G82" i="6"/>
  <c r="F82" i="6"/>
  <c r="G81" i="6"/>
  <c r="F81" i="6"/>
  <c r="G80" i="6"/>
  <c r="F80" i="6"/>
  <c r="G79" i="6"/>
  <c r="F79" i="6"/>
  <c r="G78" i="6"/>
  <c r="F78" i="6"/>
  <c r="G77" i="6"/>
  <c r="F77" i="6"/>
  <c r="G76" i="6"/>
  <c r="F76" i="6"/>
  <c r="G75" i="6"/>
  <c r="F75" i="6"/>
  <c r="G74" i="6"/>
  <c r="F74" i="6"/>
  <c r="G73" i="6"/>
  <c r="F73" i="6"/>
  <c r="G72" i="6"/>
  <c r="F72" i="6"/>
  <c r="G71" i="6"/>
  <c r="F71" i="6"/>
  <c r="G70" i="6"/>
  <c r="F70" i="6"/>
  <c r="G69" i="6"/>
  <c r="F69" i="6"/>
  <c r="G68" i="6"/>
  <c r="F68" i="6"/>
  <c r="G67" i="6"/>
  <c r="F67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F47" i="6"/>
  <c r="G46" i="6"/>
  <c r="F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3" i="6"/>
  <c r="F33" i="6"/>
  <c r="G32" i="6"/>
  <c r="F32" i="6"/>
  <c r="G31" i="6"/>
  <c r="F31" i="6"/>
  <c r="G30" i="6"/>
  <c r="F30" i="6"/>
  <c r="G29" i="6"/>
  <c r="F29" i="6"/>
  <c r="G28" i="6"/>
  <c r="F28" i="6"/>
  <c r="G27" i="6"/>
  <c r="F27" i="6"/>
  <c r="G26" i="6"/>
  <c r="F26" i="6"/>
  <c r="G25" i="6"/>
  <c r="F25" i="6"/>
  <c r="G24" i="6"/>
  <c r="F24" i="6"/>
  <c r="G23" i="6"/>
  <c r="F23" i="6"/>
  <c r="G22" i="6"/>
  <c r="F22" i="6"/>
  <c r="G21" i="6"/>
  <c r="F21" i="6"/>
  <c r="G20" i="6"/>
  <c r="F20" i="6"/>
  <c r="G19" i="6"/>
  <c r="F19" i="6"/>
  <c r="G18" i="6"/>
  <c r="F18" i="6"/>
  <c r="G17" i="6"/>
  <c r="F17" i="6"/>
  <c r="G16" i="6"/>
  <c r="F16" i="6"/>
  <c r="G15" i="6"/>
  <c r="F15" i="6"/>
  <c r="G14" i="6"/>
  <c r="F14" i="6"/>
  <c r="G13" i="6"/>
  <c r="F13" i="6"/>
  <c r="G12" i="6"/>
  <c r="F12" i="6"/>
  <c r="G11" i="6"/>
  <c r="F11" i="6"/>
  <c r="G10" i="6"/>
  <c r="F10" i="6"/>
  <c r="G9" i="6"/>
  <c r="F9" i="6"/>
  <c r="G8" i="6"/>
  <c r="F8" i="6"/>
  <c r="G7" i="6"/>
  <c r="F7" i="6"/>
  <c r="G6" i="6"/>
  <c r="F6" i="6"/>
  <c r="G5" i="6"/>
  <c r="F5" i="6"/>
  <c r="G4" i="6"/>
  <c r="F4" i="6"/>
  <c r="G3" i="6"/>
  <c r="F3" i="6"/>
  <c r="G2" i="6"/>
  <c r="F2" i="6"/>
  <c r="F101" i="5" l="1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1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I100" i="4"/>
  <c r="H100" i="4" s="1"/>
  <c r="I99" i="4"/>
  <c r="H99" i="4" s="1"/>
  <c r="I98" i="4"/>
  <c r="H98" i="4" s="1"/>
  <c r="I97" i="4"/>
  <c r="H97" i="4" s="1"/>
  <c r="I96" i="4"/>
  <c r="H96" i="4" s="1"/>
  <c r="I95" i="4"/>
  <c r="H95" i="4" s="1"/>
  <c r="I94" i="4"/>
  <c r="H94" i="4" s="1"/>
  <c r="I93" i="4"/>
  <c r="H93" i="4" s="1"/>
  <c r="I92" i="4"/>
  <c r="H92" i="4" s="1"/>
  <c r="I91" i="4"/>
  <c r="H91" i="4" s="1"/>
  <c r="I90" i="4"/>
  <c r="H90" i="4" s="1"/>
  <c r="I89" i="4"/>
  <c r="H89" i="4" s="1"/>
  <c r="I88" i="4"/>
  <c r="H88" i="4" s="1"/>
  <c r="I87" i="4"/>
  <c r="H87" i="4" s="1"/>
  <c r="I86" i="4"/>
  <c r="H86" i="4" s="1"/>
  <c r="I85" i="4"/>
  <c r="H85" i="4" s="1"/>
  <c r="I84" i="4"/>
  <c r="H84" i="4" s="1"/>
  <c r="I83" i="4"/>
  <c r="H83" i="4" s="1"/>
  <c r="I82" i="4"/>
  <c r="H82" i="4" s="1"/>
  <c r="I81" i="4"/>
  <c r="H81" i="4" s="1"/>
  <c r="I80" i="4"/>
  <c r="H80" i="4" s="1"/>
  <c r="I79" i="4"/>
  <c r="H79" i="4" s="1"/>
  <c r="I78" i="4"/>
  <c r="H78" i="4" s="1"/>
  <c r="I77" i="4"/>
  <c r="H77" i="4" s="1"/>
  <c r="I76" i="4"/>
  <c r="H76" i="4" s="1"/>
  <c r="I75" i="4"/>
  <c r="H75" i="4" s="1"/>
  <c r="I74" i="4"/>
  <c r="H74" i="4" s="1"/>
  <c r="I73" i="4"/>
  <c r="H73" i="4" s="1"/>
  <c r="I72" i="4"/>
  <c r="H72" i="4" s="1"/>
  <c r="I71" i="4"/>
  <c r="H71" i="4" s="1"/>
  <c r="I70" i="4"/>
  <c r="H70" i="4" s="1"/>
  <c r="I69" i="4"/>
  <c r="H69" i="4" s="1"/>
  <c r="I68" i="4"/>
  <c r="H68" i="4" s="1"/>
  <c r="I67" i="4"/>
  <c r="H67" i="4" s="1"/>
  <c r="I66" i="4"/>
  <c r="H66" i="4" s="1"/>
  <c r="I65" i="4"/>
  <c r="H65" i="4" s="1"/>
  <c r="I64" i="4"/>
  <c r="H64" i="4" s="1"/>
  <c r="I63" i="4"/>
  <c r="H63" i="4" s="1"/>
  <c r="I62" i="4"/>
  <c r="H62" i="4" s="1"/>
  <c r="I61" i="4"/>
  <c r="H61" i="4" s="1"/>
  <c r="I60" i="4"/>
  <c r="H60" i="4" s="1"/>
  <c r="I59" i="4"/>
  <c r="H59" i="4" s="1"/>
  <c r="I58" i="4"/>
  <c r="H58" i="4" s="1"/>
  <c r="I57" i="4"/>
  <c r="H57" i="4" s="1"/>
  <c r="I56" i="4"/>
  <c r="H56" i="4" s="1"/>
  <c r="I55" i="4"/>
  <c r="H55" i="4" s="1"/>
  <c r="I54" i="4"/>
  <c r="H54" i="4" s="1"/>
  <c r="I53" i="4"/>
  <c r="H53" i="4" s="1"/>
  <c r="I52" i="4"/>
  <c r="H52" i="4" s="1"/>
  <c r="I51" i="4"/>
  <c r="H51" i="4" s="1"/>
  <c r="I50" i="4"/>
  <c r="H50" i="4" s="1"/>
  <c r="I49" i="4"/>
  <c r="H49" i="4" s="1"/>
  <c r="I48" i="4"/>
  <c r="H48" i="4" s="1"/>
  <c r="I47" i="4"/>
  <c r="H47" i="4" s="1"/>
  <c r="I46" i="4"/>
  <c r="H46" i="4" s="1"/>
  <c r="I45" i="4"/>
  <c r="H45" i="4" s="1"/>
  <c r="I44" i="4"/>
  <c r="H44" i="4" s="1"/>
  <c r="I43" i="4"/>
  <c r="H43" i="4" s="1"/>
  <c r="I42" i="4"/>
  <c r="H42" i="4" s="1"/>
  <c r="I41" i="4"/>
  <c r="H41" i="4" s="1"/>
  <c r="I40" i="4"/>
  <c r="H40" i="4" s="1"/>
  <c r="I39" i="4"/>
  <c r="H39" i="4" s="1"/>
  <c r="I38" i="4"/>
  <c r="H38" i="4" s="1"/>
  <c r="I37" i="4"/>
  <c r="H37" i="4" s="1"/>
  <c r="I35" i="4"/>
  <c r="H35" i="4" s="1"/>
  <c r="I34" i="4"/>
  <c r="H34" i="4" s="1"/>
  <c r="I33" i="4"/>
  <c r="H33" i="4" s="1"/>
  <c r="I32" i="4"/>
  <c r="H32" i="4" s="1"/>
  <c r="I31" i="4"/>
  <c r="H31" i="4" s="1"/>
  <c r="I30" i="4"/>
  <c r="H30" i="4" s="1"/>
  <c r="I29" i="4"/>
  <c r="H29" i="4" s="1"/>
  <c r="I28" i="4"/>
  <c r="H28" i="4" s="1"/>
  <c r="I27" i="4"/>
  <c r="H27" i="4" s="1"/>
  <c r="I26" i="4"/>
  <c r="H26" i="4" s="1"/>
  <c r="I25" i="4"/>
  <c r="H25" i="4" s="1"/>
  <c r="I24" i="4"/>
  <c r="H24" i="4" s="1"/>
  <c r="I23" i="4"/>
  <c r="H23" i="4" s="1"/>
  <c r="I20" i="4"/>
  <c r="H20" i="4" s="1"/>
  <c r="I17" i="4"/>
  <c r="H17" i="4" s="1"/>
  <c r="I16" i="4"/>
  <c r="H16" i="4" s="1"/>
  <c r="I15" i="4"/>
  <c r="H15" i="4" s="1"/>
  <c r="I14" i="4"/>
  <c r="H14" i="4" s="1"/>
  <c r="I13" i="4"/>
  <c r="H13" i="4" s="1"/>
  <c r="I12" i="4"/>
  <c r="H12" i="4" s="1"/>
  <c r="I11" i="4"/>
  <c r="H11" i="4" s="1"/>
  <c r="I10" i="4"/>
  <c r="H10" i="4" s="1"/>
  <c r="I9" i="4"/>
  <c r="H9" i="4" s="1"/>
  <c r="I8" i="4"/>
  <c r="H8" i="4" s="1"/>
  <c r="I7" i="4"/>
  <c r="H7" i="4" s="1"/>
  <c r="I6" i="4"/>
  <c r="H6" i="4" s="1"/>
  <c r="I5" i="4"/>
  <c r="H5" i="4" s="1"/>
  <c r="I4" i="4"/>
  <c r="H4" i="4" s="1"/>
  <c r="I3" i="4"/>
  <c r="H3" i="4" s="1"/>
  <c r="I2" i="4"/>
  <c r="H2" i="4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20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87" i="1"/>
  <c r="I78" i="1"/>
  <c r="I79" i="1"/>
  <c r="I80" i="1"/>
  <c r="I81" i="1"/>
  <c r="I82" i="1"/>
  <c r="I83" i="1"/>
  <c r="I84" i="1"/>
  <c r="I85" i="1"/>
  <c r="I86" i="1"/>
  <c r="I93" i="1"/>
  <c r="I88" i="1"/>
  <c r="I89" i="1"/>
  <c r="I90" i="1"/>
  <c r="I91" i="1"/>
  <c r="I94" i="1"/>
  <c r="I95" i="1"/>
  <c r="I96" i="1"/>
  <c r="I97" i="1"/>
  <c r="I98" i="1"/>
  <c r="I99" i="1"/>
  <c r="I100" i="1"/>
  <c r="I92" i="1"/>
  <c r="I2" i="1"/>
</calcChain>
</file>

<file path=xl/sharedStrings.xml><?xml version="1.0" encoding="utf-8"?>
<sst xmlns="http://schemas.openxmlformats.org/spreadsheetml/2006/main" count="1455" uniqueCount="254">
  <si>
    <t>Item Num</t>
  </si>
  <si>
    <t>Barcode</t>
  </si>
  <si>
    <t>Category</t>
  </si>
  <si>
    <t>Description Arab</t>
  </si>
  <si>
    <t>Pack</t>
  </si>
  <si>
    <t>price</t>
  </si>
  <si>
    <t>Unit Price</t>
  </si>
  <si>
    <t>OFFER</t>
  </si>
  <si>
    <t>OFFER.1</t>
  </si>
  <si>
    <t>Bleach</t>
  </si>
  <si>
    <t>Laundry Det</t>
  </si>
  <si>
    <t>Multi Purpose Cleaner</t>
  </si>
  <si>
    <t>Dishwashing</t>
  </si>
  <si>
    <t>Carpet Cleaner</t>
  </si>
  <si>
    <t>Drain Cleaner</t>
  </si>
  <si>
    <t>Fabric Softner</t>
  </si>
  <si>
    <t>Gel Cleaner</t>
  </si>
  <si>
    <t>General Disinfectant</t>
  </si>
  <si>
    <t>General Freshener</t>
  </si>
  <si>
    <t>Hand Wash</t>
  </si>
  <si>
    <t>Glass Cleaner</t>
  </si>
  <si>
    <t>Kitchen Cleaner</t>
  </si>
  <si>
    <t>Toilet Cleaner</t>
  </si>
  <si>
    <t>Air Freshener</t>
  </si>
  <si>
    <t>Powder Det.</t>
  </si>
  <si>
    <t>Stain Removers</t>
  </si>
  <si>
    <t xml:space="preserve">مبيض غسيل هايبكس 950 مل </t>
  </si>
  <si>
    <t>مبيض غسيل هايبكس 950 مل زهور</t>
  </si>
  <si>
    <t>مبيض غسيل هايبكس 950 مل ليمون</t>
  </si>
  <si>
    <t xml:space="preserve">مبيض غسيل هايبكس 1.89 لتر </t>
  </si>
  <si>
    <t>مبيض غسيل هايبكس 1.89 لتر زهور</t>
  </si>
  <si>
    <t>مبيض غسيل هايبكس 1.89 لتر ليمون</t>
  </si>
  <si>
    <t>مبيض غسيل هايبكس 3.78 لتر</t>
  </si>
  <si>
    <t>مبيض غسيل هايبكس 3.78 لتر زهور</t>
  </si>
  <si>
    <t>مبيض غسيل هايبكس 3.78 لتر ليمون</t>
  </si>
  <si>
    <t xml:space="preserve">مستر هايبو كلور 950 مل </t>
  </si>
  <si>
    <t>مستر هايبو كلور 3.78 لتر</t>
  </si>
  <si>
    <t>سائل جلي هايبكس 950 مل تفاح</t>
  </si>
  <si>
    <t>سائل جلي هايبكس 950 مل زهور</t>
  </si>
  <si>
    <t>سائل جلي هايبكس 950 مل فراولة</t>
  </si>
  <si>
    <t>سائل جلي هايبكس 950 مل لافندر</t>
  </si>
  <si>
    <t>سائل جلي هايبكس 950 مل ليمون</t>
  </si>
  <si>
    <t>سائل جلي هايبكس 1.8 لتر ازرق ليلك</t>
  </si>
  <si>
    <t xml:space="preserve">سائل جلي هايبكس 1.8 لتر برتقال </t>
  </si>
  <si>
    <t xml:space="preserve">سائل جلي هايبكس 1.8 لتر تفاح </t>
  </si>
  <si>
    <t xml:space="preserve">سائل جلي هايبكس 1.8 لتر زهري ورد </t>
  </si>
  <si>
    <t xml:space="preserve">سائل جلي هايبكس 1.8 لتر فراولة </t>
  </si>
  <si>
    <t xml:space="preserve">سائل جلي هايبكس 1.8 لتر ليمون </t>
  </si>
  <si>
    <t xml:space="preserve">سائل جلي هايبكس 1.8 لتر نهدي لافندر </t>
  </si>
  <si>
    <t>منظف سجاد هايبكس 1 لتر</t>
  </si>
  <si>
    <t>مسلك روسور هايبكس 1 لتر</t>
  </si>
  <si>
    <t>سائل غسيل الملابس هايبكس 3 لتر ازرق</t>
  </si>
  <si>
    <t>ملين ملابس هايبكس 1 لتر اخضر</t>
  </si>
  <si>
    <t>ملين ملابس هايبكس 1 لتر ازرق</t>
  </si>
  <si>
    <t>ملين ملابس هايبكس 1 لتر زهري</t>
  </si>
  <si>
    <t>ملين ملابس هايبكس 2 لتر اخضر</t>
  </si>
  <si>
    <t>ملين ملابس هايبكس 2 لتر ازرق</t>
  </si>
  <si>
    <t>ملين ملابس هايبكس 2 لتر زهري</t>
  </si>
  <si>
    <t>جل ارضيات هايبكس 1 كغم صنوبر</t>
  </si>
  <si>
    <t>جل ارضيات هايبكس 1 كغم لافندر</t>
  </si>
  <si>
    <t>جل ارضيات هايبكس 1 كغم ليمون</t>
  </si>
  <si>
    <t>مطهر عام هايبكس 500 مل</t>
  </si>
  <si>
    <t>مطهر عام هايبكس 1000 مل</t>
  </si>
  <si>
    <t xml:space="preserve"> معطر ارضيات هايبكس 1 لتر ابيض /ياسمين</t>
  </si>
  <si>
    <t xml:space="preserve"> معطر ارضيات هايبكس 1 لتر اخضر/فواكة</t>
  </si>
  <si>
    <t xml:space="preserve"> معطر ارضيات هايبكس 1 لتر ازرق/نسيم البحر</t>
  </si>
  <si>
    <t xml:space="preserve"> معطر ارضيات هايبكس 1 لتر بنفسجي/لافندر</t>
  </si>
  <si>
    <t xml:space="preserve"> معطر ارضيات هايبكس 1 لتر ورد/زهري</t>
  </si>
  <si>
    <t>معطر ارضيات هايبكس 2.1لتر ابيض/نقاء الطبيعة</t>
  </si>
  <si>
    <t>معطر ارضيات هايبكس2.1 لتر اخضر/نسيم الربيع</t>
  </si>
  <si>
    <t>معطر ارضيات هايبكس 2.1 لتر ازرق فاتح/نسيم البحر</t>
  </si>
  <si>
    <t>معطر ارضيات هايبكس 2.1 لتر زهري غامق/ورد</t>
  </si>
  <si>
    <t>معطر ارضيات هايبكس 2.1 لتر نهدي/لافندر</t>
  </si>
  <si>
    <t>معطر ارضيات هايبكس 2.7 لتر ابيض/نقاء الطبيعة</t>
  </si>
  <si>
    <t>معطر ارضيات هايبكس 2.7 لتر اخضر/نسيم الربيع</t>
  </si>
  <si>
    <t>معطر ارضيات هايبكس 2.7 لتر ازرق غامق/انتعاش الصيف</t>
  </si>
  <si>
    <t>معطر ارضيات هايبكس 2.7 لتر ازرق فاتح/نسيم البحر</t>
  </si>
  <si>
    <t>معطر ارضيات هايبكس 2.7 لتر اصفر/برائحة الحمضيات</t>
  </si>
  <si>
    <t>معطر ارضيات هايبكس 2.7 لتر برتقال/فواكه الاستوائية</t>
  </si>
  <si>
    <t>معطر ارضيات هايبكس 2.7 لتر بني/عطور شرقية</t>
  </si>
  <si>
    <t>معطر ارضيات هايبكس 2.7 لتر زهري غامق/ورد</t>
  </si>
  <si>
    <t>معطر ارضيات هايبكس 2.7 لتر زهري فاتح/سحر وردي</t>
  </si>
  <si>
    <t>معطر ارضيات هايبكس 2.7 لتر نهدي/لافندر</t>
  </si>
  <si>
    <t>سائل ايدي هايبكس 500 مل جوز الهند</t>
  </si>
  <si>
    <t>سائل ايدي هايبكس 500 مل حمضيات واعشاب</t>
  </si>
  <si>
    <t>سائل ايدي هايبكس 500 مل ربيع</t>
  </si>
  <si>
    <t>سائل ايدي هايبكس 500 مل صنوبر</t>
  </si>
  <si>
    <t>سائل ايدي هايبكس 500 مل عود</t>
  </si>
  <si>
    <t>سائل ايدي هايبكس 500 مل فايوليت</t>
  </si>
  <si>
    <t>سائل ايدي هايبكس 500 مل فواكه</t>
  </si>
  <si>
    <t>سائل ايدي هايبكس 500 مل كيوي وليمون</t>
  </si>
  <si>
    <t>سائل ايدي هايبكس 500 مل نسيم البحر</t>
  </si>
  <si>
    <t>سائل ايدي هايبكس 500 مل ورد</t>
  </si>
  <si>
    <t>فوم ايدي هايبكس 600 مل انتعاش</t>
  </si>
  <si>
    <t>فوم ايدي هايبكس 600 مل زهري</t>
  </si>
  <si>
    <t>فوم ايدي هايبكس 600 مل عود</t>
  </si>
  <si>
    <t>منظف زجاج هايبكس 650 مل حمضيات</t>
  </si>
  <si>
    <t>منظف زجاج هايبكس 650 مل محيطات</t>
  </si>
  <si>
    <t>مسحوق غسيل هايبكس 1.5 كغم</t>
  </si>
  <si>
    <t>مسحوق غسيل هايبكس كيس 10 كيلو</t>
  </si>
  <si>
    <t>هايبكس مسحوق مزيل البقع 400 غم *12 ازرق</t>
  </si>
  <si>
    <t>هايبكس مسحوق مزيل بقع 400 غم *12 -اخضر</t>
  </si>
  <si>
    <t>12+1</t>
  </si>
  <si>
    <t>21+4</t>
  </si>
  <si>
    <t>100+10</t>
  </si>
  <si>
    <t>سائل ايدي هايبكس 500 مل عرض شرنك 3 حبات</t>
  </si>
  <si>
    <t>منظف بخاخ هايبكس 950 مل حمام فائق القوى</t>
  </si>
  <si>
    <t>منظف بخاخ هايبكس 950 مل متعدد الاستعمال</t>
  </si>
  <si>
    <t>معطر بخاخ هايبكس 450 مل عود</t>
  </si>
  <si>
    <t>معطر بخاخ هايبكس 450 مل منجا</t>
  </si>
  <si>
    <t>معطر بخاخ هايبكس 450 مل نسيم البحر</t>
  </si>
  <si>
    <t>معطر بخاخ هايبكس 450 مل ورد</t>
  </si>
  <si>
    <t>مسحوق غسيل هايبكس 500 غ</t>
  </si>
  <si>
    <t>جل ارضيات هايبكس1800  كغم ليمون</t>
  </si>
  <si>
    <t>جل ارضيات هايبكس1800  كغم صنوبر</t>
  </si>
  <si>
    <t xml:space="preserve">جل ارضيات هايبكس1800  كغم لافيندر </t>
  </si>
  <si>
    <t>سائل غسيل الملابس هايبكس 3 لتر لافيندر</t>
  </si>
  <si>
    <t>مسحوق غسيل هايبكس 3 كغم</t>
  </si>
  <si>
    <t>مسحوق غسيل هايبكس 5 كغم سطل اخضر</t>
  </si>
  <si>
    <t>12+2</t>
  </si>
  <si>
    <t>100+17</t>
  </si>
  <si>
    <t>50+8</t>
  </si>
  <si>
    <t>12+3</t>
  </si>
  <si>
    <t>10+2</t>
  </si>
  <si>
    <t>100+22</t>
  </si>
  <si>
    <t>25+2</t>
  </si>
  <si>
    <t>Description English</t>
  </si>
  <si>
    <t>Air Freshner 450 ML Oud</t>
  </si>
  <si>
    <t>Air Freshner 450 ML Mango</t>
  </si>
  <si>
    <t>Air Freshner 450 ML Breez</t>
  </si>
  <si>
    <t>Air Freshner 450 ML Rose</t>
  </si>
  <si>
    <t>Bleach 950 ML</t>
  </si>
  <si>
    <t>Bleach 950 ML Rose</t>
  </si>
  <si>
    <t>Bleach 950 ML Lemon</t>
  </si>
  <si>
    <t>Bleach1.89 L</t>
  </si>
  <si>
    <t>Bleach1.89 L Rose</t>
  </si>
  <si>
    <t>Bleach1.89 L Lemon</t>
  </si>
  <si>
    <t>Bleach3.78 L</t>
  </si>
  <si>
    <t>Bleach3.78 L Rose</t>
  </si>
  <si>
    <t>Bleach3.78 L Lemon</t>
  </si>
  <si>
    <t>Carpet Cleaner 1 L</t>
  </si>
  <si>
    <t>Dish Washing 950 ML Apple</t>
  </si>
  <si>
    <t>Dish Washing 950 ML Rose</t>
  </si>
  <si>
    <t>Dish Washing 950 ML strawberry</t>
  </si>
  <si>
    <t>Dish Washing 950 ML Lavender</t>
  </si>
  <si>
    <t>Dish Washing 950 ML Lemon</t>
  </si>
  <si>
    <t>Dish Washing 1.8 L Blue Rose</t>
  </si>
  <si>
    <t>Dish Washing 1.8 L  Orange</t>
  </si>
  <si>
    <t>Dish Washing 1.8 L  Apple</t>
  </si>
  <si>
    <t>Dish Washing 1.8 L  Rose</t>
  </si>
  <si>
    <t>Dish Washing 1.8 L  strawberry</t>
  </si>
  <si>
    <t>Dish Washing 1.8 L  Lemon</t>
  </si>
  <si>
    <t>Dish Washing 1.8 L  Lavender</t>
  </si>
  <si>
    <t>Drain opener 1 L</t>
  </si>
  <si>
    <t>Fabric Softner 1 L Green</t>
  </si>
  <si>
    <t>Fabric Softner 1 L Blue</t>
  </si>
  <si>
    <t>Fabric Softner 1 L Pink</t>
  </si>
  <si>
    <t>Fabric Softner 2 L Green</t>
  </si>
  <si>
    <t>Fabric Softner 2 L Blue</t>
  </si>
  <si>
    <t>Fabric Softner 2 L Pink</t>
  </si>
  <si>
    <t>Fabric Stain Remover Power - Green 500 G</t>
  </si>
  <si>
    <t>Fabric Stain Remover Power - Blue 500 G</t>
  </si>
  <si>
    <t>Gel Floor 1 KG - Green</t>
  </si>
  <si>
    <t>Gel Floor 1 KG - Lavender</t>
  </si>
  <si>
    <t>Gel Floor 1 KG - Lemon</t>
  </si>
  <si>
    <t>Gel Floor 1.8 KG - Green</t>
  </si>
  <si>
    <t>Gel Floor 1.8 KG - Lavender</t>
  </si>
  <si>
    <t>Gel Floor 1.8 KG - Lemon</t>
  </si>
  <si>
    <t>Disinfectant 500 ML</t>
  </si>
  <si>
    <t>Disinfectant 1 L</t>
  </si>
  <si>
    <t>Multi Purpose Freshener 1 L/ White</t>
  </si>
  <si>
    <t>Multi Purpose Freshener 1 L/ Green</t>
  </si>
  <si>
    <t>Multi Purpose Freshener 1 L/ Blue</t>
  </si>
  <si>
    <t>Multi Purpose Freshener 1 L/ Purple</t>
  </si>
  <si>
    <t>Multi Purpose Freshener 1 L/ pink</t>
  </si>
  <si>
    <t>Multi Purpose Freshener 2.1 L/ White</t>
  </si>
  <si>
    <t>Multi Purpose Freshener 2.1 L/ Green</t>
  </si>
  <si>
    <t>Multi Purpose Freshener 2.1 L/ Blue/ Breeze</t>
  </si>
  <si>
    <t>Multi Purpose Freshener 2.1 L/ Rose</t>
  </si>
  <si>
    <t>Multi Purpose Freshener 2.1 L/ Lavender</t>
  </si>
  <si>
    <t>Multi Purpose Freshener 2.7 L/ White</t>
  </si>
  <si>
    <t>Multi Purpose Freshener 2.7 L/ Green</t>
  </si>
  <si>
    <t>Multi Purpose Freshener 2.7 L/ Breeze</t>
  </si>
  <si>
    <t>Multi Purpose Freshener 2.7 L/ Yellow - Citrus</t>
  </si>
  <si>
    <t>Multi Purpose Freshener 2.7 L/ Orange - Fruit</t>
  </si>
  <si>
    <t>Multi Purpose Freshener 2.7 L/ Brown</t>
  </si>
  <si>
    <t>Multi Purpose Freshener 2.7 L/ Rose</t>
  </si>
  <si>
    <t>Multi Purpose Freshener 2.7 L/ Magic Rose</t>
  </si>
  <si>
    <t>Multi Purpose Freshener 2.7 L/ Lavender</t>
  </si>
  <si>
    <t>Glass Cleaner 650 ML- Green</t>
  </si>
  <si>
    <t>Glass Cleaner 650 ML- Blue</t>
  </si>
  <si>
    <t>Hand Washing 500 ML Coconut</t>
  </si>
  <si>
    <t>Hand Washing 500 ML Citrus</t>
  </si>
  <si>
    <t>Hand Washing 500 ML Spring</t>
  </si>
  <si>
    <t>Hand Washing 500 ML Pine</t>
  </si>
  <si>
    <t>Hand Washing 500 ML Oud</t>
  </si>
  <si>
    <t>Hand Washing 500 ML Vaiolet</t>
  </si>
  <si>
    <t>Hand Washing 500 ML Ftuit</t>
  </si>
  <si>
    <t>Hand Washing 500 ML Lemon -Kiwi</t>
  </si>
  <si>
    <t>Hand Washing 500 ML Lemon -Breeze</t>
  </si>
  <si>
    <t>Hand Washing 500 ML Lemon -Rose</t>
  </si>
  <si>
    <t>Hand Washing Foam 600 ML - Fresh</t>
  </si>
  <si>
    <t>Hand Washing Foam 600 ML - Rose</t>
  </si>
  <si>
    <t>Hand Washing Foam 600 ML - Oud</t>
  </si>
  <si>
    <t>Hand Washing - Shrink</t>
  </si>
  <si>
    <t>مزيل تكلس هايبكس 950 مل</t>
  </si>
  <si>
    <t>Toilet Bowl Disinfectant 950 ML</t>
  </si>
  <si>
    <t>Color Clothes Remover Stain 950  ML -Pink</t>
  </si>
  <si>
    <t>Color Clothes Remover Stain 950  ML -Blue</t>
  </si>
  <si>
    <t>مزيل بقع هايبكس 950 مل ملابس ملونة ازرق</t>
  </si>
  <si>
    <t>مزيل بقع هايبكس 950 مل ملابس ملونة زهري</t>
  </si>
  <si>
    <t>منظف بخاخ هايبكس 950 مل مطابخ</t>
  </si>
  <si>
    <t>Liquid laundry 3 L - Blue</t>
  </si>
  <si>
    <t>Liquid laundry 3 L - Lavender</t>
  </si>
  <si>
    <t>Multi Purpose Cleaner 950 Ml</t>
  </si>
  <si>
    <t>BathRoom Cleaner 950 Ml</t>
  </si>
  <si>
    <t>Kitchen Cleaner 950 ML</t>
  </si>
  <si>
    <t>Powder Washing 500 G</t>
  </si>
  <si>
    <t>Powder Washing 1.5 KG</t>
  </si>
  <si>
    <t>Powder Washing 3 KG</t>
  </si>
  <si>
    <t>Powder Washing 5 KG</t>
  </si>
  <si>
    <t>Powder Washing 10 KG</t>
  </si>
  <si>
    <t>Order</t>
  </si>
  <si>
    <t>Free</t>
  </si>
  <si>
    <t>Unit Price&amp;Tax</t>
  </si>
  <si>
    <t>اسم العميل</t>
  </si>
  <si>
    <t>اسم المندوب</t>
  </si>
  <si>
    <t>ملاحظات</t>
  </si>
  <si>
    <t>R.S.P</t>
  </si>
  <si>
    <t>3 دينار</t>
  </si>
  <si>
    <t>مستر هايبو كلور 3.78 لتر زهور</t>
  </si>
  <si>
    <t>Bleach3.78 Lemon</t>
  </si>
  <si>
    <t>Bleach 950 ML lemon</t>
  </si>
  <si>
    <t>مستر هايبو كلور 3.78 لتر ليمون</t>
  </si>
  <si>
    <t>مستر هايبو كلور 950 مل  ليمون</t>
  </si>
  <si>
    <t>مستر هايبو كلور 950 مل زهور</t>
  </si>
  <si>
    <t>سائل جلي هايبكس 3.78 لتر زهري ورد جالون</t>
  </si>
  <si>
    <t>Dish Washing 3.78 L  Rose Galone</t>
  </si>
  <si>
    <t>الوصف</t>
  </si>
  <si>
    <t>التعبئة</t>
  </si>
  <si>
    <t>الكمية</t>
  </si>
  <si>
    <t>السعر</t>
  </si>
  <si>
    <t>المجموع</t>
  </si>
  <si>
    <t>مطهر عام هايبكس 2500 مل</t>
  </si>
  <si>
    <t>عرض سعر</t>
  </si>
  <si>
    <t>شركة الخير لذبح وتسويق الدواجن</t>
  </si>
  <si>
    <t>أسم الشركة :</t>
  </si>
  <si>
    <t>السادة  :</t>
  </si>
  <si>
    <t xml:space="preserve">كلور 1000 ليتر </t>
  </si>
  <si>
    <t>200 JD</t>
  </si>
  <si>
    <t>شركة الصناعات الكيماوية الأردنية المساهمة العامة</t>
  </si>
  <si>
    <t>مسحوق غسيل هايبكس1.5كغم</t>
  </si>
  <si>
    <t>20+4</t>
  </si>
  <si>
    <t>Unit Price&amp;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</si>
</sst>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د_._ا_._‏_-;\-* #,##0.00\ _د_._ا_._‏_-;_-* &quot;-&quot;??\ _د_._ا_._‏_-;_-@_-"/>
    <numFmt numFmtId="165" formatCode="_-* #,##0\ _د_._ا_._‏_-;\-* #,##0\ _د_._ا_._‏_-;_-* &quot;-&quot;??\ _د_._ا_._‏_-;_-@_-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i/>
      <u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4" fillId="0" borderId="0" applyFont="0" applyFill="0" applyBorder="0" applyAlignment="0" applyProtection="0"/>
  </cellStyleXfs>
  <cellXfs count="3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/>
    <xf numFmtId="2" fontId="2" fillId="2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2" xfId="0" applyFont="1" applyBorder="1"/>
    <xf numFmtId="1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" fontId="1" fillId="0" borderId="1" xfId="1" applyNumberFormat="1" applyFont="1" applyBorder="1" applyAlignment="1"/>
    <xf numFmtId="0" fontId="1" fillId="0" borderId="2" xfId="0" applyFont="1" applyBorder="1" applyAlignment="1">
      <alignment horizontal="center"/>
    </xf>
    <xf numFmtId="1" fontId="1" fillId="0" borderId="1" xfId="1" applyNumberFormat="1" applyFont="1" applyBorder="1" applyAlignment="1">
      <alignment horizontal="center"/>
    </xf>
    <xf numFmtId="0" fontId="0" fillId="0" borderId="1" xfId="0" applyBorder="1"/>
    <xf numFmtId="2" fontId="1" fillId="0" borderId="1" xfId="0" applyNumberFormat="1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2" fontId="2" fillId="2" borderId="3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5" fontId="1" fillId="0" borderId="1" xfId="1" applyNumberFormat="1" applyFont="1" applyBorder="1" applyAlignment="1">
      <alignment horizontal="center"/>
    </xf>
    <xf numFmtId="0" fontId="8" fillId="3" borderId="1" xfId="0" applyFont="1" applyFill="1" applyBorder="1" applyAlignment="1">
      <alignment vertical="center"/>
    </xf>
    <xf numFmtId="2" fontId="8" fillId="3" borderId="1" xfId="0" applyNumberFormat="1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right" vertical="center"/>
    </xf>
    <xf numFmtId="0" fontId="8" fillId="3" borderId="5" xfId="0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zoomScaleNormal="100" workbookViewId="0">
      <selection activeCell="E7" sqref="E7"/>
    </sheetView>
  </sheetViews>
  <sheetFormatPr defaultRowHeight="14.4" x14ac:dyDescent="0.3"/>
  <cols>
    <col min="1" max="1" width="11.33203125" style="12" customWidth="1"/>
    <col min="2" max="2" width="16.44140625" style="9" customWidth="1"/>
    <col min="3" max="3" width="19.44140625" style="12" customWidth="1"/>
    <col min="4" max="4" width="39.6640625" bestFit="1" customWidth="1"/>
    <col min="5" max="5" width="43.44140625" bestFit="1" customWidth="1"/>
    <col min="6" max="6" width="8.88671875" style="12"/>
    <col min="7" max="8" width="8.88671875" style="6"/>
    <col min="9" max="9" width="10.6640625" style="6" customWidth="1"/>
    <col min="10" max="10" width="8.88671875" style="12" customWidth="1"/>
    <col min="11" max="11" width="8.88671875" style="12"/>
    <col min="12" max="12" width="8.77734375" customWidth="1"/>
    <col min="15" max="15" width="6.88671875" bestFit="1" customWidth="1"/>
    <col min="16" max="16" width="12.44140625" customWidth="1"/>
    <col min="17" max="17" width="13.33203125" customWidth="1"/>
    <col min="19" max="19" width="10.109375" customWidth="1"/>
  </cols>
  <sheetData>
    <row r="1" spans="1:12" ht="29.4" customHeight="1" x14ac:dyDescent="0.3">
      <c r="A1" s="1" t="s">
        <v>0</v>
      </c>
      <c r="B1" s="2" t="s">
        <v>1</v>
      </c>
      <c r="C1" s="1" t="s">
        <v>2</v>
      </c>
      <c r="D1" s="1" t="s">
        <v>126</v>
      </c>
      <c r="E1" s="1" t="s">
        <v>3</v>
      </c>
      <c r="F1" s="1" t="s">
        <v>4</v>
      </c>
      <c r="G1" s="4" t="s">
        <v>5</v>
      </c>
      <c r="H1" s="4" t="s">
        <v>6</v>
      </c>
      <c r="I1" s="4" t="s">
        <v>253</v>
      </c>
      <c r="J1" s="1" t="s">
        <v>7</v>
      </c>
      <c r="K1" s="1" t="s">
        <v>8</v>
      </c>
      <c r="L1" s="4" t="s">
        <v>228</v>
      </c>
    </row>
    <row r="2" spans="1:12" ht="24" customHeight="1" x14ac:dyDescent="0.3">
      <c r="A2" s="11">
        <v>400021</v>
      </c>
      <c r="B2" s="8">
        <v>6253500765090</v>
      </c>
      <c r="C2" s="11" t="s">
        <v>23</v>
      </c>
      <c r="D2" s="3" t="s">
        <v>127</v>
      </c>
      <c r="E2" s="3" t="s">
        <v>108</v>
      </c>
      <c r="F2" s="11">
        <v>12</v>
      </c>
      <c r="G2" s="5">
        <v>9.25</v>
      </c>
      <c r="H2" s="5">
        <f>I2/116%</f>
        <v>0.66451149425287359</v>
      </c>
      <c r="I2" s="5">
        <f>G2/F2</f>
        <v>0.77083333333333337</v>
      </c>
      <c r="J2" s="11" t="s">
        <v>102</v>
      </c>
      <c r="K2" s="11" t="s">
        <v>104</v>
      </c>
      <c r="L2" s="5">
        <v>0.9</v>
      </c>
    </row>
    <row r="3" spans="1:12" ht="24" customHeight="1" x14ac:dyDescent="0.3">
      <c r="A3" s="11">
        <v>400024</v>
      </c>
      <c r="B3" s="8">
        <v>6253500765076</v>
      </c>
      <c r="C3" s="11" t="s">
        <v>23</v>
      </c>
      <c r="D3" s="3" t="s">
        <v>128</v>
      </c>
      <c r="E3" s="3" t="s">
        <v>109</v>
      </c>
      <c r="F3" s="11">
        <v>12</v>
      </c>
      <c r="G3" s="5">
        <v>9.25</v>
      </c>
      <c r="H3" s="5">
        <f t="shared" ref="H3:H66" si="0">I3/116%</f>
        <v>0.66451149425287359</v>
      </c>
      <c r="I3" s="5">
        <f t="shared" ref="I3:I61" si="1">G3/F3</f>
        <v>0.77083333333333337</v>
      </c>
      <c r="J3" s="11" t="s">
        <v>102</v>
      </c>
      <c r="K3" s="11" t="s">
        <v>104</v>
      </c>
      <c r="L3" s="5">
        <v>0.9</v>
      </c>
    </row>
    <row r="4" spans="1:12" ht="24" customHeight="1" x14ac:dyDescent="0.3">
      <c r="A4" s="11">
        <v>400022</v>
      </c>
      <c r="B4" s="8">
        <v>6253500765083</v>
      </c>
      <c r="C4" s="11" t="s">
        <v>23</v>
      </c>
      <c r="D4" s="3" t="s">
        <v>129</v>
      </c>
      <c r="E4" s="3" t="s">
        <v>110</v>
      </c>
      <c r="F4" s="11">
        <v>12</v>
      </c>
      <c r="G4" s="5">
        <v>9.25</v>
      </c>
      <c r="H4" s="5">
        <f t="shared" si="0"/>
        <v>0.66451149425287359</v>
      </c>
      <c r="I4" s="5">
        <f t="shared" si="1"/>
        <v>0.77083333333333337</v>
      </c>
      <c r="J4" s="11" t="s">
        <v>102</v>
      </c>
      <c r="K4" s="11" t="s">
        <v>104</v>
      </c>
      <c r="L4" s="5">
        <v>0.9</v>
      </c>
    </row>
    <row r="5" spans="1:12" ht="24" customHeight="1" x14ac:dyDescent="0.3">
      <c r="A5" s="11">
        <v>400020</v>
      </c>
      <c r="B5" s="8">
        <v>6253500765113</v>
      </c>
      <c r="C5" s="11" t="s">
        <v>23</v>
      </c>
      <c r="D5" s="3" t="s">
        <v>130</v>
      </c>
      <c r="E5" s="3" t="s">
        <v>111</v>
      </c>
      <c r="F5" s="11">
        <v>12</v>
      </c>
      <c r="G5" s="5">
        <v>9.25</v>
      </c>
      <c r="H5" s="5">
        <f t="shared" si="0"/>
        <v>0.66451149425287359</v>
      </c>
      <c r="I5" s="5">
        <f t="shared" si="1"/>
        <v>0.77083333333333337</v>
      </c>
      <c r="J5" s="11" t="s">
        <v>102</v>
      </c>
      <c r="K5" s="11" t="s">
        <v>104</v>
      </c>
      <c r="L5" s="5">
        <v>0.9</v>
      </c>
    </row>
    <row r="6" spans="1:12" ht="24" customHeight="1" x14ac:dyDescent="0.3">
      <c r="A6" s="11">
        <v>200001</v>
      </c>
      <c r="B6" s="8">
        <v>6253500760019</v>
      </c>
      <c r="C6" s="11" t="s">
        <v>9</v>
      </c>
      <c r="D6" s="3" t="s">
        <v>131</v>
      </c>
      <c r="E6" s="3" t="s">
        <v>26</v>
      </c>
      <c r="F6" s="11">
        <v>18</v>
      </c>
      <c r="G6" s="5">
        <v>13.5</v>
      </c>
      <c r="H6" s="5">
        <f t="shared" si="0"/>
        <v>0.64655172413793105</v>
      </c>
      <c r="I6" s="5">
        <f t="shared" si="1"/>
        <v>0.75</v>
      </c>
      <c r="J6" s="11" t="s">
        <v>102</v>
      </c>
      <c r="K6" s="11" t="s">
        <v>104</v>
      </c>
      <c r="L6" s="5">
        <v>0.85</v>
      </c>
    </row>
    <row r="7" spans="1:12" ht="24" customHeight="1" x14ac:dyDescent="0.3">
      <c r="A7" s="11">
        <v>200003</v>
      </c>
      <c r="B7" s="8">
        <v>6253500760200</v>
      </c>
      <c r="C7" s="11" t="s">
        <v>9</v>
      </c>
      <c r="D7" s="3" t="s">
        <v>132</v>
      </c>
      <c r="E7" s="3" t="s">
        <v>27</v>
      </c>
      <c r="F7" s="11">
        <v>12</v>
      </c>
      <c r="G7" s="5">
        <v>9</v>
      </c>
      <c r="H7" s="5">
        <f t="shared" si="0"/>
        <v>0.64655172413793105</v>
      </c>
      <c r="I7" s="5">
        <f t="shared" si="1"/>
        <v>0.75</v>
      </c>
      <c r="J7" s="11" t="s">
        <v>102</v>
      </c>
      <c r="K7" s="11" t="s">
        <v>104</v>
      </c>
      <c r="L7" s="5">
        <v>0.85</v>
      </c>
    </row>
    <row r="8" spans="1:12" ht="24" customHeight="1" x14ac:dyDescent="0.3">
      <c r="A8" s="11">
        <v>200002</v>
      </c>
      <c r="B8" s="8">
        <v>6253500760194</v>
      </c>
      <c r="C8" s="11" t="s">
        <v>9</v>
      </c>
      <c r="D8" s="3" t="s">
        <v>133</v>
      </c>
      <c r="E8" s="3" t="s">
        <v>28</v>
      </c>
      <c r="F8" s="11">
        <v>12</v>
      </c>
      <c r="G8" s="5">
        <v>9</v>
      </c>
      <c r="H8" s="5">
        <f t="shared" si="0"/>
        <v>0.64655172413793105</v>
      </c>
      <c r="I8" s="5">
        <f t="shared" si="1"/>
        <v>0.75</v>
      </c>
      <c r="J8" s="11" t="s">
        <v>102</v>
      </c>
      <c r="K8" s="11" t="s">
        <v>104</v>
      </c>
      <c r="L8" s="5">
        <v>0.85</v>
      </c>
    </row>
    <row r="9" spans="1:12" ht="24" customHeight="1" x14ac:dyDescent="0.3">
      <c r="A9" s="11">
        <v>200004</v>
      </c>
      <c r="B9" s="8">
        <v>6253500760026</v>
      </c>
      <c r="C9" s="11" t="s">
        <v>9</v>
      </c>
      <c r="D9" s="3" t="s">
        <v>134</v>
      </c>
      <c r="E9" s="3" t="s">
        <v>29</v>
      </c>
      <c r="F9" s="11">
        <v>9</v>
      </c>
      <c r="G9" s="5">
        <v>12</v>
      </c>
      <c r="H9" s="5">
        <f t="shared" si="0"/>
        <v>1.1494252873563218</v>
      </c>
      <c r="I9" s="5">
        <f t="shared" si="1"/>
        <v>1.3333333333333333</v>
      </c>
      <c r="J9" s="11" t="s">
        <v>102</v>
      </c>
      <c r="K9" s="11" t="s">
        <v>104</v>
      </c>
      <c r="L9" s="5">
        <v>1.5</v>
      </c>
    </row>
    <row r="10" spans="1:12" ht="24" customHeight="1" x14ac:dyDescent="0.3">
      <c r="A10" s="11">
        <v>200006</v>
      </c>
      <c r="B10" s="8">
        <v>6253500760231</v>
      </c>
      <c r="C10" s="11" t="s">
        <v>9</v>
      </c>
      <c r="D10" s="3" t="s">
        <v>135</v>
      </c>
      <c r="E10" s="3" t="s">
        <v>30</v>
      </c>
      <c r="F10" s="11">
        <v>9</v>
      </c>
      <c r="G10" s="5">
        <v>12</v>
      </c>
      <c r="H10" s="5">
        <f t="shared" si="0"/>
        <v>1.1494252873563218</v>
      </c>
      <c r="I10" s="5">
        <f t="shared" si="1"/>
        <v>1.3333333333333333</v>
      </c>
      <c r="J10" s="11" t="s">
        <v>102</v>
      </c>
      <c r="K10" s="11" t="s">
        <v>104</v>
      </c>
      <c r="L10" s="5">
        <v>1.5</v>
      </c>
    </row>
    <row r="11" spans="1:12" ht="24" customHeight="1" x14ac:dyDescent="0.3">
      <c r="A11" s="11">
        <v>200005</v>
      </c>
      <c r="B11" s="8">
        <v>6253500760255</v>
      </c>
      <c r="C11" s="11" t="s">
        <v>9</v>
      </c>
      <c r="D11" s="3" t="s">
        <v>136</v>
      </c>
      <c r="E11" s="3" t="s">
        <v>31</v>
      </c>
      <c r="F11" s="11">
        <v>9</v>
      </c>
      <c r="G11" s="5">
        <v>12</v>
      </c>
      <c r="H11" s="5">
        <f t="shared" si="0"/>
        <v>1.1494252873563218</v>
      </c>
      <c r="I11" s="5">
        <f t="shared" si="1"/>
        <v>1.3333333333333333</v>
      </c>
      <c r="J11" s="11" t="s">
        <v>102</v>
      </c>
      <c r="K11" s="11" t="s">
        <v>104</v>
      </c>
      <c r="L11" s="5">
        <v>1.5</v>
      </c>
    </row>
    <row r="12" spans="1:12" ht="24" customHeight="1" x14ac:dyDescent="0.3">
      <c r="A12" s="11">
        <v>200007</v>
      </c>
      <c r="B12" s="8">
        <v>6253500760033</v>
      </c>
      <c r="C12" s="11" t="s">
        <v>9</v>
      </c>
      <c r="D12" s="3" t="s">
        <v>137</v>
      </c>
      <c r="E12" s="3" t="s">
        <v>32</v>
      </c>
      <c r="F12" s="11">
        <v>4</v>
      </c>
      <c r="G12" s="5">
        <v>9.35</v>
      </c>
      <c r="H12" s="5">
        <f t="shared" si="0"/>
        <v>2.0150862068965516</v>
      </c>
      <c r="I12" s="5">
        <f t="shared" si="1"/>
        <v>2.3374999999999999</v>
      </c>
      <c r="J12" s="11" t="s">
        <v>102</v>
      </c>
      <c r="K12" s="11" t="s">
        <v>104</v>
      </c>
      <c r="L12" s="5">
        <v>2.5</v>
      </c>
    </row>
    <row r="13" spans="1:12" ht="24" customHeight="1" x14ac:dyDescent="0.3">
      <c r="A13" s="11">
        <v>200009</v>
      </c>
      <c r="B13" s="8">
        <v>6253500760248</v>
      </c>
      <c r="C13" s="11" t="s">
        <v>9</v>
      </c>
      <c r="D13" s="3" t="s">
        <v>138</v>
      </c>
      <c r="E13" s="3" t="s">
        <v>33</v>
      </c>
      <c r="F13" s="11">
        <v>4</v>
      </c>
      <c r="G13" s="5">
        <v>9.35</v>
      </c>
      <c r="H13" s="5">
        <f t="shared" si="0"/>
        <v>2.0150862068965516</v>
      </c>
      <c r="I13" s="5">
        <f t="shared" si="1"/>
        <v>2.3374999999999999</v>
      </c>
      <c r="J13" s="11" t="s">
        <v>102</v>
      </c>
      <c r="K13" s="11" t="s">
        <v>104</v>
      </c>
      <c r="L13" s="5">
        <v>2.5</v>
      </c>
    </row>
    <row r="14" spans="1:12" ht="24" customHeight="1" x14ac:dyDescent="0.3">
      <c r="A14" s="11">
        <v>200008</v>
      </c>
      <c r="B14" s="8">
        <v>6253500760224</v>
      </c>
      <c r="C14" s="11" t="s">
        <v>9</v>
      </c>
      <c r="D14" s="3" t="s">
        <v>139</v>
      </c>
      <c r="E14" s="3" t="s">
        <v>34</v>
      </c>
      <c r="F14" s="11">
        <v>4</v>
      </c>
      <c r="G14" s="5">
        <v>9.35</v>
      </c>
      <c r="H14" s="5">
        <f t="shared" si="0"/>
        <v>2.0150862068965516</v>
      </c>
      <c r="I14" s="5">
        <f t="shared" si="1"/>
        <v>2.3374999999999999</v>
      </c>
      <c r="J14" s="11" t="s">
        <v>102</v>
      </c>
      <c r="K14" s="11" t="s">
        <v>104</v>
      </c>
      <c r="L14" s="5">
        <v>2.5</v>
      </c>
    </row>
    <row r="15" spans="1:12" ht="24" customHeight="1" x14ac:dyDescent="0.3">
      <c r="A15" s="11">
        <v>200018</v>
      </c>
      <c r="B15" s="8">
        <v>6253500760712</v>
      </c>
      <c r="C15" s="11" t="s">
        <v>9</v>
      </c>
      <c r="D15" s="3" t="s">
        <v>207</v>
      </c>
      <c r="E15" s="3" t="s">
        <v>210</v>
      </c>
      <c r="F15" s="11">
        <v>12</v>
      </c>
      <c r="G15" s="5">
        <v>15.3</v>
      </c>
      <c r="H15" s="5">
        <f t="shared" si="0"/>
        <v>1.0991379310344829</v>
      </c>
      <c r="I15" s="5">
        <f t="shared" si="1"/>
        <v>1.2750000000000001</v>
      </c>
      <c r="J15" s="11"/>
      <c r="K15" s="11"/>
      <c r="L15" s="5">
        <v>1.5</v>
      </c>
    </row>
    <row r="16" spans="1:12" ht="24" customHeight="1" x14ac:dyDescent="0.3">
      <c r="A16" s="11">
        <v>200011</v>
      </c>
      <c r="B16" s="8">
        <v>6253500760705</v>
      </c>
      <c r="C16" s="11" t="s">
        <v>9</v>
      </c>
      <c r="D16" s="3" t="s">
        <v>208</v>
      </c>
      <c r="E16" s="3" t="s">
        <v>209</v>
      </c>
      <c r="F16" s="11">
        <v>12</v>
      </c>
      <c r="G16" s="5">
        <v>15.3</v>
      </c>
      <c r="H16" s="5">
        <f t="shared" si="0"/>
        <v>1.0991379310344829</v>
      </c>
      <c r="I16" s="5">
        <f t="shared" si="1"/>
        <v>1.2750000000000001</v>
      </c>
      <c r="J16" s="11"/>
      <c r="K16" s="11"/>
      <c r="L16" s="5">
        <v>1.5</v>
      </c>
    </row>
    <row r="17" spans="1:14" ht="24" customHeight="1" x14ac:dyDescent="0.3">
      <c r="A17" s="11">
        <v>130080</v>
      </c>
      <c r="B17" s="8">
        <v>6253500761399</v>
      </c>
      <c r="C17" s="11" t="s">
        <v>9</v>
      </c>
      <c r="D17" s="3" t="s">
        <v>131</v>
      </c>
      <c r="E17" s="3" t="s">
        <v>35</v>
      </c>
      <c r="F17" s="11">
        <v>12</v>
      </c>
      <c r="G17" s="5">
        <v>3.65</v>
      </c>
      <c r="H17" s="5">
        <f t="shared" si="0"/>
        <v>0.26221264367816094</v>
      </c>
      <c r="I17" s="5">
        <f>G17/F17</f>
        <v>0.30416666666666664</v>
      </c>
      <c r="J17" s="11" t="s">
        <v>125</v>
      </c>
      <c r="K17" s="11"/>
      <c r="L17" s="5" t="s">
        <v>229</v>
      </c>
    </row>
    <row r="18" spans="1:14" ht="24" customHeight="1" x14ac:dyDescent="0.3">
      <c r="A18" s="11">
        <v>130151</v>
      </c>
      <c r="B18" s="8">
        <v>6253500765571</v>
      </c>
      <c r="C18" s="11" t="s">
        <v>9</v>
      </c>
      <c r="D18" s="3" t="s">
        <v>132</v>
      </c>
      <c r="E18" s="3" t="s">
        <v>235</v>
      </c>
      <c r="F18" s="11">
        <v>12</v>
      </c>
      <c r="G18" s="5">
        <v>3.65</v>
      </c>
      <c r="H18" s="5">
        <f t="shared" si="0"/>
        <v>0.26221264367816094</v>
      </c>
      <c r="I18" s="5">
        <f t="shared" ref="I18:I19" si="2">G18/F18</f>
        <v>0.30416666666666664</v>
      </c>
      <c r="J18" s="11" t="s">
        <v>125</v>
      </c>
      <c r="K18" s="11"/>
      <c r="L18" s="5" t="s">
        <v>229</v>
      </c>
    </row>
    <row r="19" spans="1:14" ht="24" customHeight="1" x14ac:dyDescent="0.3">
      <c r="A19" s="11">
        <v>130150</v>
      </c>
      <c r="B19" s="8">
        <v>6253500765564</v>
      </c>
      <c r="C19" s="11" t="s">
        <v>9</v>
      </c>
      <c r="D19" s="3" t="s">
        <v>232</v>
      </c>
      <c r="E19" s="3" t="s">
        <v>234</v>
      </c>
      <c r="F19" s="11">
        <v>12</v>
      </c>
      <c r="G19" s="5">
        <v>3.65</v>
      </c>
      <c r="H19" s="5">
        <f t="shared" si="0"/>
        <v>0.26221264367816094</v>
      </c>
      <c r="I19" s="5">
        <f t="shared" si="2"/>
        <v>0.30416666666666664</v>
      </c>
      <c r="J19" s="11" t="s">
        <v>125</v>
      </c>
      <c r="K19" s="11"/>
      <c r="L19" s="5" t="s">
        <v>229</v>
      </c>
    </row>
    <row r="20" spans="1:14" ht="24" customHeight="1" x14ac:dyDescent="0.3">
      <c r="A20" s="11">
        <v>130082</v>
      </c>
      <c r="B20" s="8">
        <v>6253500763041</v>
      </c>
      <c r="C20" s="11" t="s">
        <v>9</v>
      </c>
      <c r="D20" s="3" t="s">
        <v>137</v>
      </c>
      <c r="E20" s="3" t="s">
        <v>36</v>
      </c>
      <c r="F20" s="11">
        <v>4</v>
      </c>
      <c r="G20" s="5">
        <v>5</v>
      </c>
      <c r="H20" s="5">
        <f t="shared" si="0"/>
        <v>1.0775862068965518</v>
      </c>
      <c r="I20" s="5">
        <f t="shared" si="1"/>
        <v>1.25</v>
      </c>
      <c r="J20" s="11" t="s">
        <v>121</v>
      </c>
      <c r="K20" s="11" t="s">
        <v>120</v>
      </c>
      <c r="L20" s="5">
        <v>1.25</v>
      </c>
    </row>
    <row r="21" spans="1:14" ht="24" customHeight="1" x14ac:dyDescent="0.3">
      <c r="A21" s="11">
        <v>130155</v>
      </c>
      <c r="B21" s="8">
        <v>6253500765540</v>
      </c>
      <c r="C21" s="11" t="s">
        <v>9</v>
      </c>
      <c r="D21" s="3" t="s">
        <v>138</v>
      </c>
      <c r="E21" s="3" t="s">
        <v>230</v>
      </c>
      <c r="F21" s="11">
        <v>4</v>
      </c>
      <c r="G21" s="5">
        <v>5</v>
      </c>
      <c r="H21" s="5">
        <f t="shared" si="0"/>
        <v>1.0775862068965518</v>
      </c>
      <c r="I21" s="5">
        <f t="shared" ref="I21:I22" si="3">G21/F21</f>
        <v>1.25</v>
      </c>
      <c r="J21" s="11" t="s">
        <v>121</v>
      </c>
      <c r="K21" s="11" t="s">
        <v>120</v>
      </c>
      <c r="L21" s="5">
        <v>1.25</v>
      </c>
    </row>
    <row r="22" spans="1:14" ht="24" customHeight="1" x14ac:dyDescent="0.3">
      <c r="A22" s="11">
        <v>130154</v>
      </c>
      <c r="B22" s="8">
        <v>6253500765557</v>
      </c>
      <c r="C22" s="11" t="s">
        <v>9</v>
      </c>
      <c r="D22" s="3" t="s">
        <v>231</v>
      </c>
      <c r="E22" s="3" t="s">
        <v>233</v>
      </c>
      <c r="F22" s="11">
        <v>4</v>
      </c>
      <c r="G22" s="5">
        <v>5</v>
      </c>
      <c r="H22" s="5">
        <f t="shared" si="0"/>
        <v>1.0775862068965518</v>
      </c>
      <c r="I22" s="5">
        <f t="shared" si="3"/>
        <v>1.25</v>
      </c>
      <c r="J22" s="11" t="s">
        <v>121</v>
      </c>
      <c r="K22" s="11" t="s">
        <v>120</v>
      </c>
      <c r="L22" s="5">
        <v>1.25</v>
      </c>
    </row>
    <row r="23" spans="1:14" ht="24" customHeight="1" x14ac:dyDescent="0.3">
      <c r="A23" s="11">
        <v>500003</v>
      </c>
      <c r="B23" s="8">
        <v>6253500760095</v>
      </c>
      <c r="C23" s="11" t="s">
        <v>13</v>
      </c>
      <c r="D23" s="3" t="s">
        <v>140</v>
      </c>
      <c r="E23" s="3" t="s">
        <v>49</v>
      </c>
      <c r="F23" s="11">
        <v>12</v>
      </c>
      <c r="G23" s="5">
        <v>12.75</v>
      </c>
      <c r="H23" s="5">
        <f t="shared" si="0"/>
        <v>0.91594827586206906</v>
      </c>
      <c r="I23" s="5">
        <f t="shared" si="1"/>
        <v>1.0625</v>
      </c>
      <c r="J23" s="11"/>
      <c r="K23" s="11"/>
      <c r="L23" s="5">
        <v>1.25</v>
      </c>
    </row>
    <row r="24" spans="1:14" ht="24" customHeight="1" x14ac:dyDescent="0.3">
      <c r="A24" s="11">
        <v>300002</v>
      </c>
      <c r="B24" s="8">
        <v>6253500760064</v>
      </c>
      <c r="C24" s="11" t="s">
        <v>12</v>
      </c>
      <c r="D24" s="3" t="s">
        <v>141</v>
      </c>
      <c r="E24" s="3" t="s">
        <v>37</v>
      </c>
      <c r="F24" s="11">
        <v>12</v>
      </c>
      <c r="G24" s="5">
        <v>11</v>
      </c>
      <c r="H24" s="5">
        <f t="shared" si="0"/>
        <v>0.79022988505747127</v>
      </c>
      <c r="I24" s="5">
        <f t="shared" si="1"/>
        <v>0.91666666666666663</v>
      </c>
      <c r="J24" s="11" t="s">
        <v>102</v>
      </c>
      <c r="K24" s="11" t="s">
        <v>104</v>
      </c>
      <c r="L24" s="5">
        <v>1</v>
      </c>
      <c r="N24">
        <f>84*4</f>
        <v>336</v>
      </c>
    </row>
    <row r="25" spans="1:14" ht="24" customHeight="1" x14ac:dyDescent="0.3">
      <c r="A25" s="11">
        <v>300005</v>
      </c>
      <c r="B25" s="8">
        <v>6253500761313</v>
      </c>
      <c r="C25" s="11" t="s">
        <v>12</v>
      </c>
      <c r="D25" s="3" t="s">
        <v>142</v>
      </c>
      <c r="E25" s="3" t="s">
        <v>38</v>
      </c>
      <c r="F25" s="11">
        <v>12</v>
      </c>
      <c r="G25" s="5">
        <v>11</v>
      </c>
      <c r="H25" s="5">
        <f t="shared" si="0"/>
        <v>0.79022988505747127</v>
      </c>
      <c r="I25" s="5">
        <f t="shared" si="1"/>
        <v>0.91666666666666663</v>
      </c>
      <c r="J25" s="11" t="s">
        <v>102</v>
      </c>
      <c r="K25" s="11" t="s">
        <v>104</v>
      </c>
      <c r="L25" s="5">
        <v>1</v>
      </c>
    </row>
    <row r="26" spans="1:14" ht="24" customHeight="1" x14ac:dyDescent="0.3">
      <c r="A26" s="11">
        <v>300004</v>
      </c>
      <c r="B26" s="8">
        <v>6253500760187</v>
      </c>
      <c r="C26" s="11" t="s">
        <v>12</v>
      </c>
      <c r="D26" s="3" t="s">
        <v>143</v>
      </c>
      <c r="E26" s="3" t="s">
        <v>39</v>
      </c>
      <c r="F26" s="11">
        <v>12</v>
      </c>
      <c r="G26" s="5">
        <v>11</v>
      </c>
      <c r="H26" s="5">
        <f t="shared" si="0"/>
        <v>0.79022988505747127</v>
      </c>
      <c r="I26" s="5">
        <f t="shared" si="1"/>
        <v>0.91666666666666663</v>
      </c>
      <c r="J26" s="11" t="s">
        <v>102</v>
      </c>
      <c r="K26" s="11" t="s">
        <v>104</v>
      </c>
      <c r="L26" s="5">
        <v>1</v>
      </c>
    </row>
    <row r="27" spans="1:14" ht="24" customHeight="1" x14ac:dyDescent="0.3">
      <c r="A27" s="11">
        <v>300010</v>
      </c>
      <c r="B27" s="8">
        <v>6253500765489</v>
      </c>
      <c r="C27" s="11" t="s">
        <v>12</v>
      </c>
      <c r="D27" s="3" t="s">
        <v>144</v>
      </c>
      <c r="E27" s="3" t="s">
        <v>40</v>
      </c>
      <c r="F27" s="11">
        <v>12</v>
      </c>
      <c r="G27" s="5">
        <v>11</v>
      </c>
      <c r="H27" s="5">
        <f t="shared" si="0"/>
        <v>0.79022988505747127</v>
      </c>
      <c r="I27" s="5">
        <f t="shared" si="1"/>
        <v>0.91666666666666663</v>
      </c>
      <c r="J27" s="11" t="s">
        <v>102</v>
      </c>
      <c r="K27" s="11" t="s">
        <v>104</v>
      </c>
      <c r="L27" s="5">
        <v>1</v>
      </c>
    </row>
    <row r="28" spans="1:14" ht="24" customHeight="1" x14ac:dyDescent="0.3">
      <c r="A28" s="11">
        <v>300001</v>
      </c>
      <c r="B28" s="8">
        <v>6253500760057</v>
      </c>
      <c r="C28" s="11" t="s">
        <v>12</v>
      </c>
      <c r="D28" s="3" t="s">
        <v>145</v>
      </c>
      <c r="E28" s="3" t="s">
        <v>41</v>
      </c>
      <c r="F28" s="11">
        <v>12</v>
      </c>
      <c r="G28" s="5">
        <v>11</v>
      </c>
      <c r="H28" s="5">
        <f t="shared" si="0"/>
        <v>0.79022988505747127</v>
      </c>
      <c r="I28" s="5">
        <f t="shared" si="1"/>
        <v>0.91666666666666663</v>
      </c>
      <c r="J28" s="11" t="s">
        <v>102</v>
      </c>
      <c r="K28" s="11" t="s">
        <v>104</v>
      </c>
      <c r="L28" s="5">
        <v>1</v>
      </c>
    </row>
    <row r="29" spans="1:14" ht="24" customHeight="1" x14ac:dyDescent="0.3">
      <c r="A29" s="11">
        <v>300021</v>
      </c>
      <c r="B29" s="8">
        <v>6253500761511</v>
      </c>
      <c r="C29" s="11" t="s">
        <v>12</v>
      </c>
      <c r="D29" s="3" t="s">
        <v>146</v>
      </c>
      <c r="E29" s="3" t="s">
        <v>42</v>
      </c>
      <c r="F29" s="11">
        <v>6</v>
      </c>
      <c r="G29" s="5">
        <v>10.5</v>
      </c>
      <c r="H29" s="5">
        <f t="shared" si="0"/>
        <v>1.5086206896551726</v>
      </c>
      <c r="I29" s="5">
        <f t="shared" si="1"/>
        <v>1.75</v>
      </c>
      <c r="J29" s="11" t="s">
        <v>102</v>
      </c>
      <c r="K29" s="11" t="s">
        <v>104</v>
      </c>
      <c r="L29" s="5">
        <v>1.79</v>
      </c>
    </row>
    <row r="30" spans="1:14" ht="24" customHeight="1" x14ac:dyDescent="0.3">
      <c r="A30" s="11">
        <v>300008</v>
      </c>
      <c r="B30" s="8">
        <v>6253500761498</v>
      </c>
      <c r="C30" s="11" t="s">
        <v>12</v>
      </c>
      <c r="D30" s="3" t="s">
        <v>147</v>
      </c>
      <c r="E30" s="3" t="s">
        <v>43</v>
      </c>
      <c r="F30" s="11">
        <v>6</v>
      </c>
      <c r="G30" s="5">
        <v>10.5</v>
      </c>
      <c r="H30" s="5">
        <f t="shared" si="0"/>
        <v>1.5086206896551726</v>
      </c>
      <c r="I30" s="5">
        <f t="shared" si="1"/>
        <v>1.75</v>
      </c>
      <c r="J30" s="11" t="s">
        <v>102</v>
      </c>
      <c r="K30" s="11" t="s">
        <v>104</v>
      </c>
      <c r="L30" s="5">
        <v>1.79</v>
      </c>
    </row>
    <row r="31" spans="1:14" ht="24" customHeight="1" x14ac:dyDescent="0.3">
      <c r="A31" s="11">
        <v>300007</v>
      </c>
      <c r="B31" s="8">
        <v>6253500761467</v>
      </c>
      <c r="C31" s="11" t="s">
        <v>12</v>
      </c>
      <c r="D31" s="3" t="s">
        <v>148</v>
      </c>
      <c r="E31" s="3" t="s">
        <v>44</v>
      </c>
      <c r="F31" s="11">
        <v>6</v>
      </c>
      <c r="G31" s="5">
        <v>10.5</v>
      </c>
      <c r="H31" s="5">
        <f t="shared" si="0"/>
        <v>1.5086206896551726</v>
      </c>
      <c r="I31" s="5">
        <f t="shared" si="1"/>
        <v>1.75</v>
      </c>
      <c r="J31" s="11" t="s">
        <v>102</v>
      </c>
      <c r="K31" s="11" t="s">
        <v>104</v>
      </c>
      <c r="L31" s="5">
        <v>1.79</v>
      </c>
    </row>
    <row r="32" spans="1:14" ht="24" customHeight="1" x14ac:dyDescent="0.3">
      <c r="A32" s="11">
        <v>300012</v>
      </c>
      <c r="B32" s="8">
        <v>6253500761504</v>
      </c>
      <c r="C32" s="11" t="s">
        <v>12</v>
      </c>
      <c r="D32" s="3" t="s">
        <v>149</v>
      </c>
      <c r="E32" s="3" t="s">
        <v>45</v>
      </c>
      <c r="F32" s="11">
        <v>6</v>
      </c>
      <c r="G32" s="5">
        <v>10.5</v>
      </c>
      <c r="H32" s="5">
        <f t="shared" si="0"/>
        <v>1.5086206896551726</v>
      </c>
      <c r="I32" s="5">
        <f t="shared" si="1"/>
        <v>1.75</v>
      </c>
      <c r="J32" s="11" t="s">
        <v>102</v>
      </c>
      <c r="K32" s="11" t="s">
        <v>104</v>
      </c>
      <c r="L32" s="5">
        <v>1.79</v>
      </c>
    </row>
    <row r="33" spans="1:12" ht="24" customHeight="1" x14ac:dyDescent="0.3">
      <c r="A33" s="11">
        <v>300009</v>
      </c>
      <c r="B33" s="8">
        <v>6253500761474</v>
      </c>
      <c r="C33" s="11" t="s">
        <v>12</v>
      </c>
      <c r="D33" s="3" t="s">
        <v>150</v>
      </c>
      <c r="E33" s="3" t="s">
        <v>46</v>
      </c>
      <c r="F33" s="11">
        <v>6</v>
      </c>
      <c r="G33" s="5">
        <v>10.5</v>
      </c>
      <c r="H33" s="5">
        <f t="shared" si="0"/>
        <v>1.5086206896551726</v>
      </c>
      <c r="I33" s="5">
        <f t="shared" si="1"/>
        <v>1.75</v>
      </c>
      <c r="J33" s="11" t="s">
        <v>102</v>
      </c>
      <c r="K33" s="11" t="s">
        <v>104</v>
      </c>
      <c r="L33" s="5">
        <v>1.79</v>
      </c>
    </row>
    <row r="34" spans="1:12" ht="24" customHeight="1" x14ac:dyDescent="0.3">
      <c r="A34" s="11">
        <v>300006</v>
      </c>
      <c r="B34" s="8">
        <v>6253500761450</v>
      </c>
      <c r="C34" s="11" t="s">
        <v>12</v>
      </c>
      <c r="D34" s="3" t="s">
        <v>151</v>
      </c>
      <c r="E34" s="3" t="s">
        <v>47</v>
      </c>
      <c r="F34" s="11">
        <v>6</v>
      </c>
      <c r="G34" s="5">
        <v>10.5</v>
      </c>
      <c r="H34" s="5">
        <f t="shared" si="0"/>
        <v>1.5086206896551726</v>
      </c>
      <c r="I34" s="5">
        <f t="shared" si="1"/>
        <v>1.75</v>
      </c>
      <c r="J34" s="11" t="s">
        <v>102</v>
      </c>
      <c r="K34" s="11" t="s">
        <v>104</v>
      </c>
      <c r="L34" s="5">
        <v>1.79</v>
      </c>
    </row>
    <row r="35" spans="1:12" ht="24" customHeight="1" x14ac:dyDescent="0.3">
      <c r="A35" s="11">
        <v>300011</v>
      </c>
      <c r="B35" s="8">
        <v>6253500761481</v>
      </c>
      <c r="C35" s="11" t="s">
        <v>12</v>
      </c>
      <c r="D35" s="3" t="s">
        <v>152</v>
      </c>
      <c r="E35" s="3" t="s">
        <v>48</v>
      </c>
      <c r="F35" s="11">
        <v>6</v>
      </c>
      <c r="G35" s="5">
        <v>10.5</v>
      </c>
      <c r="H35" s="5">
        <f t="shared" si="0"/>
        <v>1.5086206896551726</v>
      </c>
      <c r="I35" s="5">
        <f t="shared" si="1"/>
        <v>1.75</v>
      </c>
      <c r="J35" s="11" t="s">
        <v>102</v>
      </c>
      <c r="K35" s="11" t="s">
        <v>104</v>
      </c>
      <c r="L35" s="5">
        <v>1.79</v>
      </c>
    </row>
    <row r="36" spans="1:12" ht="24" customHeight="1" x14ac:dyDescent="0.3">
      <c r="A36" s="11">
        <v>300024</v>
      </c>
      <c r="B36" s="8">
        <v>6253500763607</v>
      </c>
      <c r="C36" s="11" t="s">
        <v>12</v>
      </c>
      <c r="D36" s="3" t="s">
        <v>237</v>
      </c>
      <c r="E36" s="3" t="s">
        <v>236</v>
      </c>
      <c r="F36" s="11">
        <v>4</v>
      </c>
      <c r="G36" s="5">
        <v>14.25</v>
      </c>
      <c r="H36" s="5">
        <f t="shared" si="0"/>
        <v>3.0711206896551726</v>
      </c>
      <c r="I36" s="5">
        <f t="shared" si="1"/>
        <v>3.5625</v>
      </c>
      <c r="J36" s="11" t="s">
        <v>102</v>
      </c>
      <c r="K36" s="11"/>
      <c r="L36" s="5"/>
    </row>
    <row r="37" spans="1:12" ht="24" customHeight="1" x14ac:dyDescent="0.3">
      <c r="A37" s="11">
        <v>500001</v>
      </c>
      <c r="B37" s="8">
        <v>6253500760132</v>
      </c>
      <c r="C37" s="11" t="s">
        <v>14</v>
      </c>
      <c r="D37" s="3" t="s">
        <v>153</v>
      </c>
      <c r="E37" s="3" t="s">
        <v>50</v>
      </c>
      <c r="F37" s="11">
        <v>12</v>
      </c>
      <c r="G37" s="5">
        <v>15.3</v>
      </c>
      <c r="H37" s="5">
        <f t="shared" si="0"/>
        <v>1.0991379310344829</v>
      </c>
      <c r="I37" s="5">
        <f t="shared" si="1"/>
        <v>1.2750000000000001</v>
      </c>
      <c r="J37" s="11"/>
      <c r="K37" s="11"/>
      <c r="L37" s="5">
        <v>1.5</v>
      </c>
    </row>
    <row r="38" spans="1:12" ht="24" customHeight="1" x14ac:dyDescent="0.3">
      <c r="A38" s="11">
        <v>600045</v>
      </c>
      <c r="B38" s="8">
        <v>6253500762679</v>
      </c>
      <c r="C38" s="11" t="s">
        <v>15</v>
      </c>
      <c r="D38" s="3" t="s">
        <v>154</v>
      </c>
      <c r="E38" s="3" t="s">
        <v>52</v>
      </c>
      <c r="F38" s="11">
        <v>12</v>
      </c>
      <c r="G38" s="5">
        <v>11</v>
      </c>
      <c r="H38" s="5">
        <f t="shared" si="0"/>
        <v>0.79022988505747127</v>
      </c>
      <c r="I38" s="5">
        <f t="shared" si="1"/>
        <v>0.91666666666666663</v>
      </c>
      <c r="J38" s="11" t="s">
        <v>102</v>
      </c>
      <c r="K38" s="11" t="s">
        <v>104</v>
      </c>
      <c r="L38" s="5">
        <v>1</v>
      </c>
    </row>
    <row r="39" spans="1:12" ht="24" customHeight="1" x14ac:dyDescent="0.3">
      <c r="A39" s="11">
        <v>600043</v>
      </c>
      <c r="B39" s="8">
        <v>6253500762662</v>
      </c>
      <c r="C39" s="11" t="s">
        <v>15</v>
      </c>
      <c r="D39" s="3" t="s">
        <v>155</v>
      </c>
      <c r="E39" s="3" t="s">
        <v>53</v>
      </c>
      <c r="F39" s="11">
        <v>12</v>
      </c>
      <c r="G39" s="5">
        <v>11</v>
      </c>
      <c r="H39" s="5">
        <f t="shared" si="0"/>
        <v>0.79022988505747127</v>
      </c>
      <c r="I39" s="5">
        <f t="shared" si="1"/>
        <v>0.91666666666666663</v>
      </c>
      <c r="J39" s="11" t="s">
        <v>102</v>
      </c>
      <c r="K39" s="11" t="s">
        <v>104</v>
      </c>
      <c r="L39" s="5">
        <v>1</v>
      </c>
    </row>
    <row r="40" spans="1:12" ht="24" customHeight="1" x14ac:dyDescent="0.3">
      <c r="A40" s="11">
        <v>600044</v>
      </c>
      <c r="B40" s="8">
        <v>6253500762655</v>
      </c>
      <c r="C40" s="11" t="s">
        <v>15</v>
      </c>
      <c r="D40" s="3" t="s">
        <v>156</v>
      </c>
      <c r="E40" s="3" t="s">
        <v>54</v>
      </c>
      <c r="F40" s="11">
        <v>12</v>
      </c>
      <c r="G40" s="5">
        <v>11</v>
      </c>
      <c r="H40" s="5">
        <f t="shared" si="0"/>
        <v>0.79022988505747127</v>
      </c>
      <c r="I40" s="5">
        <f t="shared" si="1"/>
        <v>0.91666666666666663</v>
      </c>
      <c r="J40" s="11" t="s">
        <v>102</v>
      </c>
      <c r="K40" s="11" t="s">
        <v>104</v>
      </c>
      <c r="L40" s="5">
        <v>1</v>
      </c>
    </row>
    <row r="41" spans="1:12" ht="24" customHeight="1" x14ac:dyDescent="0.3">
      <c r="A41" s="11">
        <v>600031</v>
      </c>
      <c r="B41" s="8">
        <v>6253500762648</v>
      </c>
      <c r="C41" s="11" t="s">
        <v>15</v>
      </c>
      <c r="D41" s="3" t="s">
        <v>157</v>
      </c>
      <c r="E41" s="3" t="s">
        <v>55</v>
      </c>
      <c r="F41" s="11">
        <v>6</v>
      </c>
      <c r="G41" s="5">
        <v>10.5</v>
      </c>
      <c r="H41" s="5">
        <f t="shared" si="0"/>
        <v>1.5086206896551726</v>
      </c>
      <c r="I41" s="5">
        <f t="shared" si="1"/>
        <v>1.75</v>
      </c>
      <c r="J41" s="11" t="s">
        <v>102</v>
      </c>
      <c r="K41" s="11" t="s">
        <v>104</v>
      </c>
      <c r="L41" s="5">
        <v>1.9</v>
      </c>
    </row>
    <row r="42" spans="1:12" ht="24" customHeight="1" x14ac:dyDescent="0.3">
      <c r="A42" s="11">
        <v>600032</v>
      </c>
      <c r="B42" s="8">
        <v>6253500761429</v>
      </c>
      <c r="C42" s="11" t="s">
        <v>15</v>
      </c>
      <c r="D42" s="3" t="s">
        <v>158</v>
      </c>
      <c r="E42" s="3" t="s">
        <v>56</v>
      </c>
      <c r="F42" s="11">
        <v>6</v>
      </c>
      <c r="G42" s="5">
        <v>10.5</v>
      </c>
      <c r="H42" s="5">
        <f t="shared" si="0"/>
        <v>1.5086206896551726</v>
      </c>
      <c r="I42" s="5">
        <f t="shared" si="1"/>
        <v>1.75</v>
      </c>
      <c r="J42" s="11" t="s">
        <v>102</v>
      </c>
      <c r="K42" s="11" t="s">
        <v>104</v>
      </c>
      <c r="L42" s="5">
        <v>1.9</v>
      </c>
    </row>
    <row r="43" spans="1:12" ht="24" customHeight="1" x14ac:dyDescent="0.3">
      <c r="A43" s="11">
        <v>600033</v>
      </c>
      <c r="B43" s="8">
        <v>6253500762914</v>
      </c>
      <c r="C43" s="11" t="s">
        <v>15</v>
      </c>
      <c r="D43" s="3" t="s">
        <v>159</v>
      </c>
      <c r="E43" s="3" t="s">
        <v>57</v>
      </c>
      <c r="F43" s="11">
        <v>6</v>
      </c>
      <c r="G43" s="5">
        <v>10.5</v>
      </c>
      <c r="H43" s="5">
        <f t="shared" si="0"/>
        <v>1.5086206896551726</v>
      </c>
      <c r="I43" s="5">
        <f t="shared" si="1"/>
        <v>1.75</v>
      </c>
      <c r="J43" s="11" t="s">
        <v>102</v>
      </c>
      <c r="K43" s="11" t="s">
        <v>104</v>
      </c>
      <c r="L43" s="5">
        <v>1.9</v>
      </c>
    </row>
    <row r="44" spans="1:12" ht="24" customHeight="1" x14ac:dyDescent="0.3">
      <c r="A44" s="11">
        <v>600019</v>
      </c>
      <c r="B44" s="8">
        <v>6253500760736</v>
      </c>
      <c r="C44" s="11" t="s">
        <v>16</v>
      </c>
      <c r="D44" s="3" t="s">
        <v>162</v>
      </c>
      <c r="E44" s="3" t="s">
        <v>58</v>
      </c>
      <c r="F44" s="11">
        <v>12</v>
      </c>
      <c r="G44" s="5">
        <v>11.5</v>
      </c>
      <c r="H44" s="5">
        <f t="shared" si="0"/>
        <v>0.82614942528735646</v>
      </c>
      <c r="I44" s="5">
        <f t="shared" si="1"/>
        <v>0.95833333333333337</v>
      </c>
      <c r="J44" s="11" t="s">
        <v>123</v>
      </c>
      <c r="K44" s="11"/>
      <c r="L44" s="5">
        <v>1</v>
      </c>
    </row>
    <row r="45" spans="1:12" ht="24" customHeight="1" x14ac:dyDescent="0.3">
      <c r="A45" s="11">
        <v>600023</v>
      </c>
      <c r="B45" s="8">
        <v>6253500763034</v>
      </c>
      <c r="C45" s="11" t="s">
        <v>16</v>
      </c>
      <c r="D45" s="3" t="s">
        <v>163</v>
      </c>
      <c r="E45" s="3" t="s">
        <v>59</v>
      </c>
      <c r="F45" s="11">
        <v>12</v>
      </c>
      <c r="G45" s="5">
        <v>11.5</v>
      </c>
      <c r="H45" s="5">
        <f t="shared" si="0"/>
        <v>0.82614942528735646</v>
      </c>
      <c r="I45" s="5">
        <f t="shared" si="1"/>
        <v>0.95833333333333337</v>
      </c>
      <c r="J45" s="11" t="s">
        <v>123</v>
      </c>
      <c r="K45" s="11"/>
      <c r="L45" s="5">
        <v>1</v>
      </c>
    </row>
    <row r="46" spans="1:12" ht="24" customHeight="1" x14ac:dyDescent="0.3">
      <c r="A46" s="11">
        <v>600020</v>
      </c>
      <c r="B46" s="8">
        <v>6253500761184</v>
      </c>
      <c r="C46" s="11" t="s">
        <v>16</v>
      </c>
      <c r="D46" s="3" t="s">
        <v>164</v>
      </c>
      <c r="E46" s="3" t="s">
        <v>60</v>
      </c>
      <c r="F46" s="11">
        <v>12</v>
      </c>
      <c r="G46" s="5">
        <v>11.5</v>
      </c>
      <c r="H46" s="5">
        <f t="shared" si="0"/>
        <v>0.82614942528735646</v>
      </c>
      <c r="I46" s="5">
        <f t="shared" si="1"/>
        <v>0.95833333333333337</v>
      </c>
      <c r="J46" s="11" t="s">
        <v>123</v>
      </c>
      <c r="K46" s="11"/>
      <c r="L46" s="5">
        <v>1</v>
      </c>
    </row>
    <row r="47" spans="1:12" ht="24" customHeight="1" x14ac:dyDescent="0.3">
      <c r="A47" s="11">
        <v>600029</v>
      </c>
      <c r="B47" s="8">
        <v>6253500761191</v>
      </c>
      <c r="C47" s="11" t="s">
        <v>16</v>
      </c>
      <c r="D47" s="3" t="s">
        <v>165</v>
      </c>
      <c r="E47" s="3" t="s">
        <v>114</v>
      </c>
      <c r="F47" s="11">
        <v>6</v>
      </c>
      <c r="G47" s="5">
        <v>11</v>
      </c>
      <c r="H47" s="5">
        <f t="shared" si="0"/>
        <v>1.5804597701149425</v>
      </c>
      <c r="I47" s="5">
        <f t="shared" si="1"/>
        <v>1.8333333333333333</v>
      </c>
      <c r="J47" s="11" t="s">
        <v>122</v>
      </c>
      <c r="K47" s="11"/>
      <c r="L47" s="5">
        <v>1.9</v>
      </c>
    </row>
    <row r="48" spans="1:12" ht="24" customHeight="1" x14ac:dyDescent="0.3">
      <c r="A48" s="11">
        <v>600030</v>
      </c>
      <c r="B48" s="8">
        <v>6253500763195</v>
      </c>
      <c r="C48" s="11" t="s">
        <v>16</v>
      </c>
      <c r="D48" s="3" t="s">
        <v>166</v>
      </c>
      <c r="E48" s="3" t="s">
        <v>115</v>
      </c>
      <c r="F48" s="11">
        <v>6</v>
      </c>
      <c r="G48" s="5">
        <v>11</v>
      </c>
      <c r="H48" s="5">
        <f t="shared" si="0"/>
        <v>1.5804597701149425</v>
      </c>
      <c r="I48" s="5">
        <f t="shared" si="1"/>
        <v>1.8333333333333333</v>
      </c>
      <c r="J48" s="11" t="s">
        <v>122</v>
      </c>
      <c r="K48" s="11"/>
      <c r="L48" s="5">
        <v>1.9</v>
      </c>
    </row>
    <row r="49" spans="1:12" ht="24" customHeight="1" x14ac:dyDescent="0.3">
      <c r="A49" s="11">
        <v>600025</v>
      </c>
      <c r="B49" s="8">
        <v>6253500761221</v>
      </c>
      <c r="C49" s="11" t="s">
        <v>16</v>
      </c>
      <c r="D49" s="3" t="s">
        <v>167</v>
      </c>
      <c r="E49" s="3" t="s">
        <v>113</v>
      </c>
      <c r="F49" s="11">
        <v>6</v>
      </c>
      <c r="G49" s="5">
        <v>11</v>
      </c>
      <c r="H49" s="5">
        <f t="shared" si="0"/>
        <v>1.5804597701149425</v>
      </c>
      <c r="I49" s="5">
        <f t="shared" si="1"/>
        <v>1.8333333333333333</v>
      </c>
      <c r="J49" s="11" t="s">
        <v>122</v>
      </c>
      <c r="K49" s="11"/>
      <c r="L49" s="5">
        <v>1.9</v>
      </c>
    </row>
    <row r="50" spans="1:12" ht="24" customHeight="1" x14ac:dyDescent="0.3">
      <c r="A50" s="11">
        <v>600018</v>
      </c>
      <c r="B50" s="8">
        <v>6253500760156</v>
      </c>
      <c r="C50" s="11" t="s">
        <v>17</v>
      </c>
      <c r="D50" s="3" t="s">
        <v>168</v>
      </c>
      <c r="E50" s="3" t="s">
        <v>61</v>
      </c>
      <c r="F50" s="11">
        <v>12</v>
      </c>
      <c r="G50" s="5">
        <v>5.56</v>
      </c>
      <c r="H50" s="5">
        <f t="shared" si="0"/>
        <v>0.39942528735632188</v>
      </c>
      <c r="I50" s="5">
        <f t="shared" si="1"/>
        <v>0.46333333333333332</v>
      </c>
      <c r="J50" s="11"/>
      <c r="K50" s="11"/>
      <c r="L50" s="5">
        <v>0.6</v>
      </c>
    </row>
    <row r="51" spans="1:12" ht="24" customHeight="1" x14ac:dyDescent="0.3">
      <c r="A51" s="11">
        <v>600040</v>
      </c>
      <c r="B51" s="8">
        <v>6253011995245</v>
      </c>
      <c r="C51" s="11" t="s">
        <v>17</v>
      </c>
      <c r="D51" s="3" t="s">
        <v>169</v>
      </c>
      <c r="E51" s="3" t="s">
        <v>62</v>
      </c>
      <c r="F51" s="11">
        <v>12</v>
      </c>
      <c r="G51" s="5">
        <v>9.9</v>
      </c>
      <c r="H51" s="5">
        <f t="shared" si="0"/>
        <v>0.7112068965517242</v>
      </c>
      <c r="I51" s="5">
        <f t="shared" si="1"/>
        <v>0.82500000000000007</v>
      </c>
      <c r="J51" s="11"/>
      <c r="K51" s="11"/>
      <c r="L51" s="5">
        <v>1</v>
      </c>
    </row>
    <row r="52" spans="1:12" ht="24" customHeight="1" x14ac:dyDescent="0.3">
      <c r="A52" s="11">
        <v>600132</v>
      </c>
      <c r="B52" s="8">
        <v>6253500764949</v>
      </c>
      <c r="C52" s="11" t="s">
        <v>18</v>
      </c>
      <c r="D52" s="3" t="s">
        <v>170</v>
      </c>
      <c r="E52" s="3" t="s">
        <v>63</v>
      </c>
      <c r="F52" s="11">
        <v>12</v>
      </c>
      <c r="G52" s="5">
        <v>11</v>
      </c>
      <c r="H52" s="5">
        <f t="shared" si="0"/>
        <v>0.79022988505747127</v>
      </c>
      <c r="I52" s="5">
        <f t="shared" si="1"/>
        <v>0.91666666666666663</v>
      </c>
      <c r="J52" s="11" t="s">
        <v>102</v>
      </c>
      <c r="K52" s="11" t="s">
        <v>104</v>
      </c>
      <c r="L52" s="5">
        <v>0.99</v>
      </c>
    </row>
    <row r="53" spans="1:12" ht="24" customHeight="1" x14ac:dyDescent="0.3">
      <c r="A53" s="11">
        <v>600130</v>
      </c>
      <c r="B53" s="8">
        <v>6253500764963</v>
      </c>
      <c r="C53" s="11" t="s">
        <v>18</v>
      </c>
      <c r="D53" s="3" t="s">
        <v>171</v>
      </c>
      <c r="E53" s="3" t="s">
        <v>64</v>
      </c>
      <c r="F53" s="11">
        <v>12</v>
      </c>
      <c r="G53" s="5">
        <v>11</v>
      </c>
      <c r="H53" s="5">
        <f t="shared" si="0"/>
        <v>0.79022988505747127</v>
      </c>
      <c r="I53" s="5">
        <f t="shared" si="1"/>
        <v>0.91666666666666663</v>
      </c>
      <c r="J53" s="11" t="s">
        <v>102</v>
      </c>
      <c r="K53" s="11" t="s">
        <v>104</v>
      </c>
      <c r="L53" s="5">
        <v>0.99</v>
      </c>
    </row>
    <row r="54" spans="1:12" ht="24" customHeight="1" x14ac:dyDescent="0.3">
      <c r="A54" s="11">
        <v>600134</v>
      </c>
      <c r="B54" s="8">
        <v>6253500764956</v>
      </c>
      <c r="C54" s="11" t="s">
        <v>18</v>
      </c>
      <c r="D54" s="3" t="s">
        <v>172</v>
      </c>
      <c r="E54" s="3" t="s">
        <v>65</v>
      </c>
      <c r="F54" s="11">
        <v>12</v>
      </c>
      <c r="G54" s="5">
        <v>11</v>
      </c>
      <c r="H54" s="5">
        <f t="shared" si="0"/>
        <v>0.79022988505747127</v>
      </c>
      <c r="I54" s="5">
        <f t="shared" si="1"/>
        <v>0.91666666666666663</v>
      </c>
      <c r="J54" s="11" t="s">
        <v>102</v>
      </c>
      <c r="K54" s="11" t="s">
        <v>104</v>
      </c>
      <c r="L54" s="5">
        <v>0.99</v>
      </c>
    </row>
    <row r="55" spans="1:12" ht="24" customHeight="1" x14ac:dyDescent="0.3">
      <c r="A55" s="11">
        <v>600131</v>
      </c>
      <c r="B55" s="8">
        <v>6253500764932</v>
      </c>
      <c r="C55" s="11" t="s">
        <v>18</v>
      </c>
      <c r="D55" s="3" t="s">
        <v>173</v>
      </c>
      <c r="E55" s="3" t="s">
        <v>66</v>
      </c>
      <c r="F55" s="11">
        <v>12</v>
      </c>
      <c r="G55" s="5">
        <v>11</v>
      </c>
      <c r="H55" s="5">
        <f t="shared" si="0"/>
        <v>0.79022988505747127</v>
      </c>
      <c r="I55" s="5">
        <f t="shared" si="1"/>
        <v>0.91666666666666663</v>
      </c>
      <c r="J55" s="11" t="s">
        <v>102</v>
      </c>
      <c r="K55" s="11" t="s">
        <v>104</v>
      </c>
      <c r="L55" s="5">
        <v>0.99</v>
      </c>
    </row>
    <row r="56" spans="1:12" ht="24" customHeight="1" x14ac:dyDescent="0.3">
      <c r="A56" s="11">
        <v>600133</v>
      </c>
      <c r="B56" s="8">
        <v>6253500764925</v>
      </c>
      <c r="C56" s="11" t="s">
        <v>18</v>
      </c>
      <c r="D56" s="3" t="s">
        <v>174</v>
      </c>
      <c r="E56" s="3" t="s">
        <v>67</v>
      </c>
      <c r="F56" s="11">
        <v>12</v>
      </c>
      <c r="G56" s="5">
        <v>11</v>
      </c>
      <c r="H56" s="5">
        <f t="shared" si="0"/>
        <v>0.79022988505747127</v>
      </c>
      <c r="I56" s="5">
        <f t="shared" si="1"/>
        <v>0.91666666666666663</v>
      </c>
      <c r="J56" s="11" t="s">
        <v>102</v>
      </c>
      <c r="K56" s="11" t="s">
        <v>104</v>
      </c>
      <c r="L56" s="5">
        <v>0.99</v>
      </c>
    </row>
    <row r="57" spans="1:12" ht="24" customHeight="1" x14ac:dyDescent="0.3">
      <c r="A57" s="11">
        <v>600140</v>
      </c>
      <c r="B57" s="8">
        <v>6253500765052</v>
      </c>
      <c r="C57" s="11" t="s">
        <v>18</v>
      </c>
      <c r="D57" s="3" t="s">
        <v>175</v>
      </c>
      <c r="E57" s="3" t="s">
        <v>68</v>
      </c>
      <c r="F57" s="11">
        <v>6</v>
      </c>
      <c r="G57" s="5">
        <v>9.5</v>
      </c>
      <c r="H57" s="5">
        <f t="shared" si="0"/>
        <v>1.3649425287356323</v>
      </c>
      <c r="I57" s="5">
        <f t="shared" si="1"/>
        <v>1.5833333333333333</v>
      </c>
      <c r="J57" s="11" t="s">
        <v>102</v>
      </c>
      <c r="K57" s="11" t="s">
        <v>104</v>
      </c>
      <c r="L57" s="5">
        <v>1.75</v>
      </c>
    </row>
    <row r="58" spans="1:12" ht="24" customHeight="1" x14ac:dyDescent="0.3">
      <c r="A58" s="11">
        <v>600140</v>
      </c>
      <c r="B58" s="8">
        <v>6253500765038</v>
      </c>
      <c r="C58" s="11" t="s">
        <v>18</v>
      </c>
      <c r="D58" s="3" t="s">
        <v>176</v>
      </c>
      <c r="E58" s="3" t="s">
        <v>69</v>
      </c>
      <c r="F58" s="11">
        <v>6</v>
      </c>
      <c r="G58" s="5">
        <v>9.5</v>
      </c>
      <c r="H58" s="5">
        <f t="shared" si="0"/>
        <v>1.3649425287356323</v>
      </c>
      <c r="I58" s="5">
        <f t="shared" si="1"/>
        <v>1.5833333333333333</v>
      </c>
      <c r="J58" s="11" t="s">
        <v>102</v>
      </c>
      <c r="K58" s="11" t="s">
        <v>104</v>
      </c>
      <c r="L58" s="5">
        <v>1.75</v>
      </c>
    </row>
    <row r="59" spans="1:12" ht="24" customHeight="1" x14ac:dyDescent="0.3">
      <c r="A59" s="11">
        <v>600140</v>
      </c>
      <c r="B59" s="8">
        <v>6253500765069</v>
      </c>
      <c r="C59" s="11" t="s">
        <v>18</v>
      </c>
      <c r="D59" s="3" t="s">
        <v>177</v>
      </c>
      <c r="E59" s="3" t="s">
        <v>70</v>
      </c>
      <c r="F59" s="11">
        <v>6</v>
      </c>
      <c r="G59" s="5">
        <v>9.5</v>
      </c>
      <c r="H59" s="5">
        <f t="shared" si="0"/>
        <v>1.3649425287356323</v>
      </c>
      <c r="I59" s="5">
        <f t="shared" si="1"/>
        <v>1.5833333333333333</v>
      </c>
      <c r="J59" s="11" t="s">
        <v>102</v>
      </c>
      <c r="K59" s="11" t="s">
        <v>104</v>
      </c>
      <c r="L59" s="5">
        <v>1.75</v>
      </c>
    </row>
    <row r="60" spans="1:12" ht="24" customHeight="1" x14ac:dyDescent="0.3">
      <c r="A60" s="11">
        <v>600140</v>
      </c>
      <c r="B60" s="8">
        <v>6253500765045</v>
      </c>
      <c r="C60" s="11" t="s">
        <v>18</v>
      </c>
      <c r="D60" s="3" t="s">
        <v>178</v>
      </c>
      <c r="E60" s="3" t="s">
        <v>71</v>
      </c>
      <c r="F60" s="11">
        <v>6</v>
      </c>
      <c r="G60" s="5">
        <v>9.5</v>
      </c>
      <c r="H60" s="5">
        <f t="shared" si="0"/>
        <v>1.3649425287356323</v>
      </c>
      <c r="I60" s="5">
        <f t="shared" si="1"/>
        <v>1.5833333333333333</v>
      </c>
      <c r="J60" s="11" t="s">
        <v>102</v>
      </c>
      <c r="K60" s="11" t="s">
        <v>104</v>
      </c>
      <c r="L60" s="5">
        <v>1.75</v>
      </c>
    </row>
    <row r="61" spans="1:12" ht="24" customHeight="1" x14ac:dyDescent="0.3">
      <c r="A61" s="11">
        <v>600065</v>
      </c>
      <c r="B61" s="8">
        <v>6253500765021</v>
      </c>
      <c r="C61" s="11" t="s">
        <v>18</v>
      </c>
      <c r="D61" s="3" t="s">
        <v>179</v>
      </c>
      <c r="E61" s="3" t="s">
        <v>72</v>
      </c>
      <c r="F61" s="11">
        <v>6</v>
      </c>
      <c r="G61" s="5">
        <v>9.5</v>
      </c>
      <c r="H61" s="5">
        <f t="shared" si="0"/>
        <v>1.3649425287356323</v>
      </c>
      <c r="I61" s="5">
        <f t="shared" si="1"/>
        <v>1.5833333333333333</v>
      </c>
      <c r="J61" s="11" t="s">
        <v>102</v>
      </c>
      <c r="K61" s="11" t="s">
        <v>104</v>
      </c>
      <c r="L61" s="5">
        <v>1.75</v>
      </c>
    </row>
    <row r="62" spans="1:12" ht="24" customHeight="1" x14ac:dyDescent="0.3">
      <c r="A62" s="11">
        <v>600065</v>
      </c>
      <c r="B62" s="8">
        <v>6253500763256</v>
      </c>
      <c r="C62" s="11" t="s">
        <v>18</v>
      </c>
      <c r="D62" s="3" t="s">
        <v>180</v>
      </c>
      <c r="E62" s="3" t="s">
        <v>73</v>
      </c>
      <c r="F62" s="11">
        <v>4</v>
      </c>
      <c r="G62" s="5">
        <v>8.25</v>
      </c>
      <c r="H62" s="5">
        <f t="shared" si="0"/>
        <v>1.7780172413793105</v>
      </c>
      <c r="I62" s="5">
        <f t="shared" ref="I62:I100" si="4">G62/F62</f>
        <v>2.0625</v>
      </c>
      <c r="J62" s="11" t="s">
        <v>102</v>
      </c>
      <c r="K62" s="11" t="s">
        <v>104</v>
      </c>
      <c r="L62" s="5">
        <v>2.25</v>
      </c>
    </row>
    <row r="63" spans="1:12" ht="24" customHeight="1" x14ac:dyDescent="0.3">
      <c r="A63" s="11">
        <v>600073</v>
      </c>
      <c r="B63" s="8">
        <v>6253500763270</v>
      </c>
      <c r="C63" s="11" t="s">
        <v>18</v>
      </c>
      <c r="D63" s="3" t="s">
        <v>181</v>
      </c>
      <c r="E63" s="3" t="s">
        <v>74</v>
      </c>
      <c r="F63" s="11">
        <v>4</v>
      </c>
      <c r="G63" s="5">
        <v>8.25</v>
      </c>
      <c r="H63" s="5">
        <f t="shared" si="0"/>
        <v>1.7780172413793105</v>
      </c>
      <c r="I63" s="5">
        <f t="shared" si="4"/>
        <v>2.0625</v>
      </c>
      <c r="J63" s="11" t="s">
        <v>102</v>
      </c>
      <c r="K63" s="11" t="s">
        <v>104</v>
      </c>
      <c r="L63" s="5">
        <v>2.25</v>
      </c>
    </row>
    <row r="64" spans="1:12" ht="24" customHeight="1" x14ac:dyDescent="0.3">
      <c r="A64" s="11">
        <v>600064</v>
      </c>
      <c r="B64" s="8">
        <v>6253500763249</v>
      </c>
      <c r="C64" s="11" t="s">
        <v>18</v>
      </c>
      <c r="D64" s="3" t="s">
        <v>181</v>
      </c>
      <c r="E64" s="3" t="s">
        <v>75</v>
      </c>
      <c r="F64" s="11">
        <v>4</v>
      </c>
      <c r="G64" s="5">
        <v>8.25</v>
      </c>
      <c r="H64" s="5">
        <f t="shared" si="0"/>
        <v>1.7780172413793105</v>
      </c>
      <c r="I64" s="5">
        <f t="shared" si="4"/>
        <v>2.0625</v>
      </c>
      <c r="J64" s="11" t="s">
        <v>102</v>
      </c>
      <c r="K64" s="11" t="s">
        <v>104</v>
      </c>
      <c r="L64" s="5">
        <v>2.25</v>
      </c>
    </row>
    <row r="65" spans="1:12" ht="24" customHeight="1" x14ac:dyDescent="0.3">
      <c r="A65" s="11">
        <v>600069</v>
      </c>
      <c r="B65" s="8">
        <v>6253500763300</v>
      </c>
      <c r="C65" s="11" t="s">
        <v>18</v>
      </c>
      <c r="D65" s="3" t="s">
        <v>182</v>
      </c>
      <c r="E65" s="3" t="s">
        <v>76</v>
      </c>
      <c r="F65" s="11">
        <v>4</v>
      </c>
      <c r="G65" s="5">
        <v>8.25</v>
      </c>
      <c r="H65" s="5">
        <f t="shared" si="0"/>
        <v>1.7780172413793105</v>
      </c>
      <c r="I65" s="5">
        <f t="shared" si="4"/>
        <v>2.0625</v>
      </c>
      <c r="J65" s="11" t="s">
        <v>102</v>
      </c>
      <c r="K65" s="11" t="s">
        <v>104</v>
      </c>
      <c r="L65" s="5">
        <v>2.25</v>
      </c>
    </row>
    <row r="66" spans="1:12" ht="24" customHeight="1" x14ac:dyDescent="0.3">
      <c r="A66" s="11">
        <v>600067</v>
      </c>
      <c r="B66" s="8">
        <v>6253500763294</v>
      </c>
      <c r="C66" s="11" t="s">
        <v>18</v>
      </c>
      <c r="D66" s="3" t="s">
        <v>183</v>
      </c>
      <c r="E66" s="3" t="s">
        <v>77</v>
      </c>
      <c r="F66" s="11">
        <v>4</v>
      </c>
      <c r="G66" s="5">
        <v>8.25</v>
      </c>
      <c r="H66" s="5">
        <f t="shared" si="0"/>
        <v>1.7780172413793105</v>
      </c>
      <c r="I66" s="5">
        <f t="shared" si="4"/>
        <v>2.0625</v>
      </c>
      <c r="J66" s="11" t="s">
        <v>102</v>
      </c>
      <c r="K66" s="11" t="s">
        <v>104</v>
      </c>
      <c r="L66" s="5">
        <v>2.25</v>
      </c>
    </row>
    <row r="67" spans="1:12" ht="24" customHeight="1" x14ac:dyDescent="0.3">
      <c r="A67" s="11">
        <v>600068</v>
      </c>
      <c r="B67" s="8">
        <v>6253500763324</v>
      </c>
      <c r="C67" s="11" t="s">
        <v>18</v>
      </c>
      <c r="D67" s="3" t="s">
        <v>184</v>
      </c>
      <c r="E67" s="3" t="s">
        <v>78</v>
      </c>
      <c r="F67" s="11">
        <v>4</v>
      </c>
      <c r="G67" s="5">
        <v>8.25</v>
      </c>
      <c r="H67" s="5">
        <f t="shared" ref="H67:H100" si="5">I67/116%</f>
        <v>1.7780172413793105</v>
      </c>
      <c r="I67" s="5">
        <f t="shared" si="4"/>
        <v>2.0625</v>
      </c>
      <c r="J67" s="11" t="s">
        <v>102</v>
      </c>
      <c r="K67" s="11" t="s">
        <v>104</v>
      </c>
      <c r="L67" s="5">
        <v>2.25</v>
      </c>
    </row>
    <row r="68" spans="1:12" ht="24" customHeight="1" x14ac:dyDescent="0.3">
      <c r="A68" s="11">
        <v>600072</v>
      </c>
      <c r="B68" s="8">
        <v>6253500763263</v>
      </c>
      <c r="C68" s="11" t="s">
        <v>18</v>
      </c>
      <c r="D68" s="3" t="s">
        <v>185</v>
      </c>
      <c r="E68" s="3" t="s">
        <v>79</v>
      </c>
      <c r="F68" s="11">
        <v>4</v>
      </c>
      <c r="G68" s="5">
        <v>8.25</v>
      </c>
      <c r="H68" s="5">
        <f t="shared" si="5"/>
        <v>1.7780172413793105</v>
      </c>
      <c r="I68" s="5">
        <f t="shared" si="4"/>
        <v>2.0625</v>
      </c>
      <c r="J68" s="11" t="s">
        <v>102</v>
      </c>
      <c r="K68" s="11" t="s">
        <v>104</v>
      </c>
      <c r="L68" s="5">
        <v>2.25</v>
      </c>
    </row>
    <row r="69" spans="1:12" ht="24" customHeight="1" x14ac:dyDescent="0.3">
      <c r="A69" s="11">
        <v>600070</v>
      </c>
      <c r="B69" s="8">
        <v>6253500763317</v>
      </c>
      <c r="C69" s="11" t="s">
        <v>18</v>
      </c>
      <c r="D69" s="3" t="s">
        <v>186</v>
      </c>
      <c r="E69" s="3" t="s">
        <v>80</v>
      </c>
      <c r="F69" s="11">
        <v>4</v>
      </c>
      <c r="G69" s="5">
        <v>8.25</v>
      </c>
      <c r="H69" s="5">
        <f t="shared" si="5"/>
        <v>1.7780172413793105</v>
      </c>
      <c r="I69" s="5">
        <f t="shared" si="4"/>
        <v>2.0625</v>
      </c>
      <c r="J69" s="11" t="s">
        <v>102</v>
      </c>
      <c r="K69" s="11" t="s">
        <v>104</v>
      </c>
      <c r="L69" s="5">
        <v>2.25</v>
      </c>
    </row>
    <row r="70" spans="1:12" ht="24" customHeight="1" x14ac:dyDescent="0.3">
      <c r="A70" s="11">
        <v>600071</v>
      </c>
      <c r="B70" s="8">
        <v>6253500763331</v>
      </c>
      <c r="C70" s="11" t="s">
        <v>18</v>
      </c>
      <c r="D70" s="3" t="s">
        <v>187</v>
      </c>
      <c r="E70" s="3" t="s">
        <v>81</v>
      </c>
      <c r="F70" s="11">
        <v>4</v>
      </c>
      <c r="G70" s="5">
        <v>8.25</v>
      </c>
      <c r="H70" s="5">
        <f t="shared" si="5"/>
        <v>1.7780172413793105</v>
      </c>
      <c r="I70" s="5">
        <f t="shared" si="4"/>
        <v>2.0625</v>
      </c>
      <c r="J70" s="11" t="s">
        <v>102</v>
      </c>
      <c r="K70" s="11" t="s">
        <v>104</v>
      </c>
      <c r="L70" s="5">
        <v>2.25</v>
      </c>
    </row>
    <row r="71" spans="1:12" ht="24" customHeight="1" x14ac:dyDescent="0.3">
      <c r="A71" s="11">
        <v>600066</v>
      </c>
      <c r="B71" s="8">
        <v>6253500763287</v>
      </c>
      <c r="C71" s="11" t="s">
        <v>18</v>
      </c>
      <c r="D71" s="3" t="s">
        <v>188</v>
      </c>
      <c r="E71" s="3" t="s">
        <v>82</v>
      </c>
      <c r="F71" s="11">
        <v>4</v>
      </c>
      <c r="G71" s="5">
        <v>8.25</v>
      </c>
      <c r="H71" s="5">
        <f t="shared" si="5"/>
        <v>1.7780172413793105</v>
      </c>
      <c r="I71" s="5">
        <f t="shared" si="4"/>
        <v>2.0625</v>
      </c>
      <c r="J71" s="11" t="s">
        <v>102</v>
      </c>
      <c r="K71" s="11" t="s">
        <v>104</v>
      </c>
      <c r="L71" s="5">
        <v>2.25</v>
      </c>
    </row>
    <row r="72" spans="1:12" ht="24" customHeight="1" x14ac:dyDescent="0.3">
      <c r="A72" s="11">
        <v>400001</v>
      </c>
      <c r="B72" s="8">
        <v>6253500760361</v>
      </c>
      <c r="C72" s="11" t="s">
        <v>20</v>
      </c>
      <c r="D72" s="3" t="s">
        <v>189</v>
      </c>
      <c r="E72" s="3" t="s">
        <v>96</v>
      </c>
      <c r="F72" s="11">
        <v>12</v>
      </c>
      <c r="G72" s="5">
        <v>8.5</v>
      </c>
      <c r="H72" s="5">
        <f t="shared" si="5"/>
        <v>0.61063218390804608</v>
      </c>
      <c r="I72" s="5">
        <f t="shared" si="4"/>
        <v>0.70833333333333337</v>
      </c>
      <c r="J72" s="11" t="s">
        <v>102</v>
      </c>
      <c r="K72" s="11" t="s">
        <v>104</v>
      </c>
      <c r="L72" s="5">
        <v>0.85</v>
      </c>
    </row>
    <row r="73" spans="1:12" ht="24" customHeight="1" x14ac:dyDescent="0.3">
      <c r="A73" s="11">
        <v>400002</v>
      </c>
      <c r="B73" s="8">
        <v>6253500760279</v>
      </c>
      <c r="C73" s="11" t="s">
        <v>20</v>
      </c>
      <c r="D73" s="3" t="s">
        <v>190</v>
      </c>
      <c r="E73" s="3" t="s">
        <v>97</v>
      </c>
      <c r="F73" s="11">
        <v>12</v>
      </c>
      <c r="G73" s="5">
        <v>8.5</v>
      </c>
      <c r="H73" s="5">
        <f t="shared" si="5"/>
        <v>0.61063218390804608</v>
      </c>
      <c r="I73" s="5">
        <f t="shared" si="4"/>
        <v>0.70833333333333337</v>
      </c>
      <c r="J73" s="11" t="s">
        <v>102</v>
      </c>
      <c r="K73" s="11" t="s">
        <v>104</v>
      </c>
      <c r="L73" s="5">
        <v>0.85</v>
      </c>
    </row>
    <row r="74" spans="1:12" ht="24" customHeight="1" x14ac:dyDescent="0.3">
      <c r="A74" s="11">
        <v>600060</v>
      </c>
      <c r="B74" s="8">
        <v>6253500761320</v>
      </c>
      <c r="C74" s="11" t="s">
        <v>19</v>
      </c>
      <c r="D74" s="3" t="s">
        <v>191</v>
      </c>
      <c r="E74" s="3" t="s">
        <v>83</v>
      </c>
      <c r="F74" s="11">
        <v>12</v>
      </c>
      <c r="G74" s="5">
        <v>9.25</v>
      </c>
      <c r="H74" s="5">
        <f t="shared" si="5"/>
        <v>0.66451149425287359</v>
      </c>
      <c r="I74" s="5">
        <f t="shared" si="4"/>
        <v>0.77083333333333337</v>
      </c>
      <c r="J74" s="11" t="s">
        <v>102</v>
      </c>
      <c r="K74" s="11" t="s">
        <v>104</v>
      </c>
      <c r="L74" s="5">
        <v>0.85</v>
      </c>
    </row>
    <row r="75" spans="1:12" ht="24" customHeight="1" x14ac:dyDescent="0.3">
      <c r="A75" s="11">
        <v>600059</v>
      </c>
      <c r="B75" s="8">
        <v>6253500763010</v>
      </c>
      <c r="C75" s="11" t="s">
        <v>19</v>
      </c>
      <c r="D75" s="3" t="s">
        <v>192</v>
      </c>
      <c r="E75" s="3" t="s">
        <v>84</v>
      </c>
      <c r="F75" s="11">
        <v>12</v>
      </c>
      <c r="G75" s="5">
        <v>9.25</v>
      </c>
      <c r="H75" s="5">
        <f t="shared" si="5"/>
        <v>0.66451149425287359</v>
      </c>
      <c r="I75" s="5">
        <f t="shared" si="4"/>
        <v>0.77083333333333337</v>
      </c>
      <c r="J75" s="11" t="s">
        <v>102</v>
      </c>
      <c r="K75" s="11" t="s">
        <v>104</v>
      </c>
      <c r="L75" s="5">
        <v>0.85</v>
      </c>
    </row>
    <row r="76" spans="1:12" ht="24" customHeight="1" x14ac:dyDescent="0.3">
      <c r="A76" s="11">
        <v>600057</v>
      </c>
      <c r="B76" s="8">
        <v>6253500761306</v>
      </c>
      <c r="C76" s="11" t="s">
        <v>19</v>
      </c>
      <c r="D76" s="3" t="s">
        <v>193</v>
      </c>
      <c r="E76" s="3" t="s">
        <v>85</v>
      </c>
      <c r="F76" s="11">
        <v>12</v>
      </c>
      <c r="G76" s="5">
        <v>9.25</v>
      </c>
      <c r="H76" s="5">
        <f t="shared" si="5"/>
        <v>0.66451149425287359</v>
      </c>
      <c r="I76" s="5">
        <f t="shared" si="4"/>
        <v>0.77083333333333337</v>
      </c>
      <c r="J76" s="11" t="s">
        <v>102</v>
      </c>
      <c r="K76" s="11" t="s">
        <v>104</v>
      </c>
      <c r="L76" s="5">
        <v>0.85</v>
      </c>
    </row>
    <row r="77" spans="1:12" ht="24" customHeight="1" x14ac:dyDescent="0.3">
      <c r="A77" s="11">
        <v>600015</v>
      </c>
      <c r="B77" s="8">
        <v>6253500760910</v>
      </c>
      <c r="C77" s="11" t="s">
        <v>19</v>
      </c>
      <c r="D77" s="3" t="s">
        <v>194</v>
      </c>
      <c r="E77" s="3" t="s">
        <v>86</v>
      </c>
      <c r="F77" s="11">
        <v>12</v>
      </c>
      <c r="G77" s="5">
        <v>9.25</v>
      </c>
      <c r="H77" s="5">
        <f t="shared" si="5"/>
        <v>0.66451149425287359</v>
      </c>
      <c r="I77" s="5">
        <f t="shared" si="4"/>
        <v>0.77083333333333337</v>
      </c>
      <c r="J77" s="11" t="s">
        <v>102</v>
      </c>
      <c r="K77" s="11" t="s">
        <v>104</v>
      </c>
      <c r="L77" s="5">
        <v>0.85</v>
      </c>
    </row>
    <row r="78" spans="1:12" ht="24" customHeight="1" x14ac:dyDescent="0.3">
      <c r="A78" s="11">
        <v>600014</v>
      </c>
      <c r="B78" s="8">
        <v>6253500760903</v>
      </c>
      <c r="C78" s="11" t="s">
        <v>19</v>
      </c>
      <c r="D78" s="3" t="s">
        <v>195</v>
      </c>
      <c r="E78" s="3" t="s">
        <v>87</v>
      </c>
      <c r="F78" s="11">
        <v>12</v>
      </c>
      <c r="G78" s="5">
        <v>9.25</v>
      </c>
      <c r="H78" s="5">
        <f t="shared" si="5"/>
        <v>0.66451149425287359</v>
      </c>
      <c r="I78" s="5">
        <f t="shared" si="4"/>
        <v>0.77083333333333337</v>
      </c>
      <c r="J78" s="11" t="s">
        <v>102</v>
      </c>
      <c r="K78" s="11" t="s">
        <v>104</v>
      </c>
      <c r="L78" s="5">
        <v>0.85</v>
      </c>
    </row>
    <row r="79" spans="1:12" ht="24" customHeight="1" x14ac:dyDescent="0.3">
      <c r="A79" s="11">
        <v>600058</v>
      </c>
      <c r="B79" s="8">
        <v>6253500761337</v>
      </c>
      <c r="C79" s="11" t="s">
        <v>19</v>
      </c>
      <c r="D79" s="3" t="s">
        <v>196</v>
      </c>
      <c r="E79" s="3" t="s">
        <v>88</v>
      </c>
      <c r="F79" s="11">
        <v>12</v>
      </c>
      <c r="G79" s="5">
        <v>9.25</v>
      </c>
      <c r="H79" s="5">
        <f t="shared" si="5"/>
        <v>0.66451149425287359</v>
      </c>
      <c r="I79" s="5">
        <f t="shared" si="4"/>
        <v>0.77083333333333337</v>
      </c>
      <c r="J79" s="11" t="s">
        <v>102</v>
      </c>
      <c r="K79" s="11" t="s">
        <v>104</v>
      </c>
      <c r="L79" s="5">
        <v>0.85</v>
      </c>
    </row>
    <row r="80" spans="1:12" ht="24" customHeight="1" x14ac:dyDescent="0.3">
      <c r="A80" s="11">
        <v>600061</v>
      </c>
      <c r="B80" s="8">
        <v>6253011995474</v>
      </c>
      <c r="C80" s="11" t="s">
        <v>19</v>
      </c>
      <c r="D80" s="3" t="s">
        <v>197</v>
      </c>
      <c r="E80" s="3" t="s">
        <v>89</v>
      </c>
      <c r="F80" s="11">
        <v>12</v>
      </c>
      <c r="G80" s="5">
        <v>9.25</v>
      </c>
      <c r="H80" s="5">
        <f t="shared" si="5"/>
        <v>0.66451149425287359</v>
      </c>
      <c r="I80" s="5">
        <f t="shared" si="4"/>
        <v>0.77083333333333337</v>
      </c>
      <c r="J80" s="11" t="s">
        <v>102</v>
      </c>
      <c r="K80" s="11" t="s">
        <v>104</v>
      </c>
      <c r="L80" s="5">
        <v>0.85</v>
      </c>
    </row>
    <row r="81" spans="1:12" ht="24" customHeight="1" x14ac:dyDescent="0.3">
      <c r="A81" s="11">
        <v>600009</v>
      </c>
      <c r="B81" s="8">
        <v>6253011995436</v>
      </c>
      <c r="C81" s="11" t="s">
        <v>19</v>
      </c>
      <c r="D81" s="3" t="s">
        <v>198</v>
      </c>
      <c r="E81" s="3" t="s">
        <v>90</v>
      </c>
      <c r="F81" s="11">
        <v>12</v>
      </c>
      <c r="G81" s="5">
        <v>9.25</v>
      </c>
      <c r="H81" s="5">
        <f t="shared" si="5"/>
        <v>0.66451149425287359</v>
      </c>
      <c r="I81" s="5">
        <f t="shared" si="4"/>
        <v>0.77083333333333337</v>
      </c>
      <c r="J81" s="11" t="s">
        <v>102</v>
      </c>
      <c r="K81" s="11" t="s">
        <v>104</v>
      </c>
      <c r="L81" s="5">
        <v>0.85</v>
      </c>
    </row>
    <row r="82" spans="1:12" ht="24" customHeight="1" x14ac:dyDescent="0.3">
      <c r="A82" s="11">
        <v>600056</v>
      </c>
      <c r="B82" s="8">
        <v>6253011995450</v>
      </c>
      <c r="C82" s="11" t="s">
        <v>19</v>
      </c>
      <c r="D82" s="3" t="s">
        <v>199</v>
      </c>
      <c r="E82" s="3" t="s">
        <v>91</v>
      </c>
      <c r="F82" s="11">
        <v>12</v>
      </c>
      <c r="G82" s="5">
        <v>9.25</v>
      </c>
      <c r="H82" s="5">
        <f t="shared" si="5"/>
        <v>0.66451149425287359</v>
      </c>
      <c r="I82" s="5">
        <f t="shared" si="4"/>
        <v>0.77083333333333337</v>
      </c>
      <c r="J82" s="11" t="s">
        <v>102</v>
      </c>
      <c r="K82" s="11" t="s">
        <v>104</v>
      </c>
      <c r="L82" s="5">
        <v>0.85</v>
      </c>
    </row>
    <row r="83" spans="1:12" ht="24" customHeight="1" x14ac:dyDescent="0.3">
      <c r="A83" s="14">
        <v>600011</v>
      </c>
      <c r="B83" s="8">
        <v>6253011995467</v>
      </c>
      <c r="C83" s="11" t="s">
        <v>19</v>
      </c>
      <c r="D83" s="3" t="s">
        <v>200</v>
      </c>
      <c r="E83" s="3" t="s">
        <v>92</v>
      </c>
      <c r="F83" s="11">
        <v>12</v>
      </c>
      <c r="G83" s="5">
        <v>9.25</v>
      </c>
      <c r="H83" s="5">
        <f t="shared" si="5"/>
        <v>0.66451149425287359</v>
      </c>
      <c r="I83" s="5">
        <f t="shared" si="4"/>
        <v>0.77083333333333337</v>
      </c>
      <c r="J83" s="11" t="s">
        <v>102</v>
      </c>
      <c r="K83" s="11" t="s">
        <v>104</v>
      </c>
      <c r="L83" s="5">
        <v>0.85</v>
      </c>
    </row>
    <row r="84" spans="1:12" ht="24" customHeight="1" x14ac:dyDescent="0.3">
      <c r="A84" s="11">
        <v>600092</v>
      </c>
      <c r="B84" s="8">
        <v>6253500763683</v>
      </c>
      <c r="C84" s="11" t="s">
        <v>19</v>
      </c>
      <c r="D84" s="3" t="s">
        <v>201</v>
      </c>
      <c r="E84" s="3" t="s">
        <v>93</v>
      </c>
      <c r="F84" s="11">
        <v>12</v>
      </c>
      <c r="G84" s="5">
        <v>9.25</v>
      </c>
      <c r="H84" s="5">
        <f t="shared" si="5"/>
        <v>0.66451149425287359</v>
      </c>
      <c r="I84" s="5">
        <f t="shared" si="4"/>
        <v>0.77083333333333337</v>
      </c>
      <c r="J84" s="11" t="s">
        <v>102</v>
      </c>
      <c r="K84" s="11" t="s">
        <v>104</v>
      </c>
      <c r="L84" s="5">
        <v>0.85</v>
      </c>
    </row>
    <row r="85" spans="1:12" ht="24" customHeight="1" x14ac:dyDescent="0.3">
      <c r="A85" s="11">
        <v>600089</v>
      </c>
      <c r="B85" s="8">
        <v>6253500763454</v>
      </c>
      <c r="C85" s="11" t="s">
        <v>19</v>
      </c>
      <c r="D85" s="3" t="s">
        <v>202</v>
      </c>
      <c r="E85" s="3" t="s">
        <v>94</v>
      </c>
      <c r="F85" s="11">
        <v>12</v>
      </c>
      <c r="G85" s="5">
        <v>9.25</v>
      </c>
      <c r="H85" s="5">
        <f t="shared" si="5"/>
        <v>0.66451149425287359</v>
      </c>
      <c r="I85" s="5">
        <f t="shared" si="4"/>
        <v>0.77083333333333337</v>
      </c>
      <c r="J85" s="11" t="s">
        <v>102</v>
      </c>
      <c r="K85" s="11" t="s">
        <v>104</v>
      </c>
      <c r="L85" s="5">
        <v>0.85</v>
      </c>
    </row>
    <row r="86" spans="1:12" ht="24" customHeight="1" x14ac:dyDescent="0.3">
      <c r="A86" s="11">
        <v>600088</v>
      </c>
      <c r="B86" s="8">
        <v>6253500763652</v>
      </c>
      <c r="C86" s="11" t="s">
        <v>19</v>
      </c>
      <c r="D86" s="3" t="s">
        <v>203</v>
      </c>
      <c r="E86" s="3" t="s">
        <v>95</v>
      </c>
      <c r="F86" s="11">
        <v>12</v>
      </c>
      <c r="G86" s="5">
        <v>9.25</v>
      </c>
      <c r="H86" s="5">
        <f t="shared" si="5"/>
        <v>0.66451149425287359</v>
      </c>
      <c r="I86" s="5">
        <f t="shared" si="4"/>
        <v>0.77083333333333337</v>
      </c>
      <c r="J86" s="11" t="s">
        <v>102</v>
      </c>
      <c r="K86" s="11" t="s">
        <v>104</v>
      </c>
      <c r="L86" s="5">
        <v>0.85</v>
      </c>
    </row>
    <row r="87" spans="1:12" ht="24" customHeight="1" x14ac:dyDescent="0.3">
      <c r="A87" s="11">
        <v>600037</v>
      </c>
      <c r="B87" s="8">
        <v>6253011995528</v>
      </c>
      <c r="C87" s="11" t="s">
        <v>19</v>
      </c>
      <c r="D87" s="3" t="s">
        <v>204</v>
      </c>
      <c r="E87" s="3" t="s">
        <v>105</v>
      </c>
      <c r="F87" s="11">
        <v>4</v>
      </c>
      <c r="G87" s="5">
        <v>8.9</v>
      </c>
      <c r="H87" s="5">
        <f t="shared" si="5"/>
        <v>1.9181034482758623</v>
      </c>
      <c r="I87" s="5">
        <f>G87/F87</f>
        <v>2.2250000000000001</v>
      </c>
      <c r="J87" s="11" t="s">
        <v>103</v>
      </c>
      <c r="K87" s="11" t="s">
        <v>124</v>
      </c>
      <c r="L87" s="5">
        <v>1.99</v>
      </c>
    </row>
    <row r="88" spans="1:12" ht="24" customHeight="1" x14ac:dyDescent="0.3">
      <c r="A88" s="11">
        <v>600110</v>
      </c>
      <c r="B88" s="8">
        <v>6253500764383</v>
      </c>
      <c r="C88" s="11" t="s">
        <v>10</v>
      </c>
      <c r="D88" s="3" t="s">
        <v>212</v>
      </c>
      <c r="E88" s="3" t="s">
        <v>51</v>
      </c>
      <c r="F88" s="11">
        <v>4</v>
      </c>
      <c r="G88" s="5">
        <v>12.5</v>
      </c>
      <c r="H88" s="5">
        <f t="shared" si="5"/>
        <v>2.6939655172413794</v>
      </c>
      <c r="I88" s="5">
        <f t="shared" si="4"/>
        <v>3.125</v>
      </c>
      <c r="J88" s="11" t="s">
        <v>102</v>
      </c>
      <c r="K88" s="11" t="s">
        <v>104</v>
      </c>
      <c r="L88" s="5">
        <v>3.25</v>
      </c>
    </row>
    <row r="89" spans="1:12" ht="24" customHeight="1" x14ac:dyDescent="0.3">
      <c r="A89" s="11">
        <v>600110</v>
      </c>
      <c r="B89" s="8">
        <v>6253500761696</v>
      </c>
      <c r="C89" s="11" t="s">
        <v>10</v>
      </c>
      <c r="D89" s="3" t="s">
        <v>213</v>
      </c>
      <c r="E89" s="3" t="s">
        <v>116</v>
      </c>
      <c r="F89" s="11">
        <v>4</v>
      </c>
      <c r="G89" s="5">
        <v>12.5</v>
      </c>
      <c r="H89" s="5">
        <f t="shared" si="5"/>
        <v>2.6939655172413794</v>
      </c>
      <c r="I89" s="5">
        <f t="shared" si="4"/>
        <v>3.125</v>
      </c>
      <c r="J89" s="11" t="s">
        <v>102</v>
      </c>
      <c r="K89" s="11" t="s">
        <v>104</v>
      </c>
      <c r="L89" s="5">
        <v>3.25</v>
      </c>
    </row>
    <row r="90" spans="1:12" ht="24" customHeight="1" x14ac:dyDescent="0.3">
      <c r="A90" s="11">
        <v>400024</v>
      </c>
      <c r="B90" s="8">
        <v>6253500670125</v>
      </c>
      <c r="C90" s="11" t="s">
        <v>11</v>
      </c>
      <c r="D90" s="3" t="s">
        <v>206</v>
      </c>
      <c r="E90" s="3" t="s">
        <v>205</v>
      </c>
      <c r="F90" s="11">
        <v>12</v>
      </c>
      <c r="G90" s="5">
        <v>10</v>
      </c>
      <c r="H90" s="5">
        <f t="shared" si="5"/>
        <v>0.71839080459770122</v>
      </c>
      <c r="I90" s="5">
        <f t="shared" si="4"/>
        <v>0.83333333333333337</v>
      </c>
      <c r="J90" s="11" t="s">
        <v>102</v>
      </c>
      <c r="K90" s="11" t="s">
        <v>104</v>
      </c>
      <c r="L90" s="5">
        <v>0.79</v>
      </c>
    </row>
    <row r="91" spans="1:12" ht="24" customHeight="1" x14ac:dyDescent="0.3">
      <c r="A91" s="11">
        <v>400022</v>
      </c>
      <c r="B91" s="8">
        <v>6253500760408</v>
      </c>
      <c r="C91" s="11" t="s">
        <v>11</v>
      </c>
      <c r="D91" s="3" t="s">
        <v>214</v>
      </c>
      <c r="E91" s="3" t="s">
        <v>107</v>
      </c>
      <c r="F91" s="11">
        <v>12</v>
      </c>
      <c r="G91" s="5">
        <v>15.3</v>
      </c>
      <c r="H91" s="5">
        <f t="shared" si="5"/>
        <v>1.0991379310344829</v>
      </c>
      <c r="I91" s="5">
        <f t="shared" si="4"/>
        <v>1.2750000000000001</v>
      </c>
      <c r="J91" s="11" t="s">
        <v>102</v>
      </c>
      <c r="K91" s="11" t="s">
        <v>104</v>
      </c>
      <c r="L91" s="5">
        <v>1.39</v>
      </c>
    </row>
    <row r="92" spans="1:12" ht="24" customHeight="1" x14ac:dyDescent="0.3">
      <c r="A92" s="11">
        <v>200028</v>
      </c>
      <c r="B92" s="8">
        <v>6253500760323</v>
      </c>
      <c r="C92" s="11" t="s">
        <v>22</v>
      </c>
      <c r="D92" s="3" t="s">
        <v>215</v>
      </c>
      <c r="E92" s="3" t="s">
        <v>106</v>
      </c>
      <c r="F92" s="11">
        <v>12</v>
      </c>
      <c r="G92" s="5">
        <v>15.3</v>
      </c>
      <c r="H92" s="5">
        <f t="shared" si="5"/>
        <v>1.0991379310344829</v>
      </c>
      <c r="I92" s="5">
        <f>G92/F92</f>
        <v>1.2750000000000001</v>
      </c>
      <c r="J92" s="11" t="s">
        <v>102</v>
      </c>
      <c r="K92" s="11" t="s">
        <v>104</v>
      </c>
      <c r="L92" s="5">
        <v>1.39</v>
      </c>
    </row>
    <row r="93" spans="1:12" ht="24" customHeight="1" x14ac:dyDescent="0.3">
      <c r="A93" s="11">
        <v>400003</v>
      </c>
      <c r="B93" s="8">
        <v>6253500760378</v>
      </c>
      <c r="C93" s="11" t="s">
        <v>21</v>
      </c>
      <c r="D93" s="3" t="s">
        <v>216</v>
      </c>
      <c r="E93" s="3" t="s">
        <v>211</v>
      </c>
      <c r="F93" s="11">
        <v>12</v>
      </c>
      <c r="G93" s="5">
        <v>15.3</v>
      </c>
      <c r="H93" s="5">
        <f t="shared" si="5"/>
        <v>1.0991379310344829</v>
      </c>
      <c r="I93" s="5">
        <f>G93/F93</f>
        <v>1.2750000000000001</v>
      </c>
      <c r="J93" s="11" t="s">
        <v>102</v>
      </c>
      <c r="K93" s="11" t="s">
        <v>104</v>
      </c>
      <c r="L93" s="5">
        <v>1.39</v>
      </c>
    </row>
    <row r="94" spans="1:12" ht="24" customHeight="1" x14ac:dyDescent="0.3">
      <c r="A94" s="11">
        <v>400020</v>
      </c>
      <c r="B94" s="8">
        <v>621102391127</v>
      </c>
      <c r="C94" s="11" t="s">
        <v>24</v>
      </c>
      <c r="D94" s="3" t="s">
        <v>217</v>
      </c>
      <c r="E94" s="3" t="s">
        <v>112</v>
      </c>
      <c r="F94" s="11">
        <v>24</v>
      </c>
      <c r="G94" s="5">
        <v>16.8</v>
      </c>
      <c r="H94" s="5">
        <f t="shared" si="5"/>
        <v>0.60344827586206906</v>
      </c>
      <c r="I94" s="5">
        <f t="shared" si="4"/>
        <v>0.70000000000000007</v>
      </c>
      <c r="J94" s="11"/>
      <c r="K94" s="11"/>
      <c r="L94" s="5">
        <v>1</v>
      </c>
    </row>
    <row r="95" spans="1:12" ht="24" customHeight="1" x14ac:dyDescent="0.3">
      <c r="A95" s="15">
        <v>600034</v>
      </c>
      <c r="B95" s="8">
        <v>6253500761412</v>
      </c>
      <c r="C95" s="11" t="s">
        <v>24</v>
      </c>
      <c r="D95" s="3" t="s">
        <v>218</v>
      </c>
      <c r="E95" s="3" t="s">
        <v>98</v>
      </c>
      <c r="F95" s="11">
        <v>8</v>
      </c>
      <c r="G95" s="5">
        <v>15.5</v>
      </c>
      <c r="H95" s="5">
        <f t="shared" si="5"/>
        <v>1.6702586206896552</v>
      </c>
      <c r="I95" s="5">
        <f t="shared" si="4"/>
        <v>1.9375</v>
      </c>
      <c r="K95" s="11"/>
      <c r="L95" s="5">
        <v>2.25</v>
      </c>
    </row>
    <row r="96" spans="1:12" ht="24" customHeight="1" x14ac:dyDescent="0.3">
      <c r="A96" s="15">
        <v>600129</v>
      </c>
      <c r="B96" s="8">
        <v>6211023913527</v>
      </c>
      <c r="C96" s="11" t="s">
        <v>24</v>
      </c>
      <c r="D96" s="3" t="s">
        <v>219</v>
      </c>
      <c r="E96" s="3" t="s">
        <v>117</v>
      </c>
      <c r="F96" s="11">
        <v>4</v>
      </c>
      <c r="G96" s="5">
        <v>13.5</v>
      </c>
      <c r="H96" s="5">
        <f t="shared" si="5"/>
        <v>2.9094827586206899</v>
      </c>
      <c r="I96" s="5">
        <f t="shared" si="4"/>
        <v>3.375</v>
      </c>
      <c r="J96" s="11"/>
      <c r="K96" s="11"/>
      <c r="L96" s="5">
        <v>3.99</v>
      </c>
    </row>
    <row r="97" spans="1:12" ht="24" customHeight="1" x14ac:dyDescent="0.3">
      <c r="A97" s="15">
        <v>600136</v>
      </c>
      <c r="B97" s="8">
        <v>6253500765533</v>
      </c>
      <c r="C97" s="11" t="s">
        <v>24</v>
      </c>
      <c r="D97" s="3" t="s">
        <v>220</v>
      </c>
      <c r="E97" s="3" t="s">
        <v>118</v>
      </c>
      <c r="F97" s="11">
        <v>1</v>
      </c>
      <c r="G97" s="5">
        <v>6.25</v>
      </c>
      <c r="H97" s="5">
        <f t="shared" si="5"/>
        <v>5.3879310344827589</v>
      </c>
      <c r="I97" s="5">
        <f t="shared" si="4"/>
        <v>6.25</v>
      </c>
      <c r="J97" s="11"/>
      <c r="K97" s="11"/>
      <c r="L97" s="5">
        <v>6.99</v>
      </c>
    </row>
    <row r="98" spans="1:12" ht="24" customHeight="1" x14ac:dyDescent="0.3">
      <c r="A98" s="11">
        <v>600127</v>
      </c>
      <c r="B98" s="8">
        <v>6253500765175</v>
      </c>
      <c r="C98" s="11" t="s">
        <v>24</v>
      </c>
      <c r="D98" s="3" t="s">
        <v>221</v>
      </c>
      <c r="E98" s="3" t="s">
        <v>99</v>
      </c>
      <c r="F98" s="11">
        <v>1</v>
      </c>
      <c r="G98" s="5">
        <v>10.75</v>
      </c>
      <c r="H98" s="5">
        <f t="shared" si="5"/>
        <v>9.2672413793103452</v>
      </c>
      <c r="I98" s="5">
        <f t="shared" si="4"/>
        <v>10.75</v>
      </c>
      <c r="J98" s="11"/>
      <c r="K98" s="11"/>
      <c r="L98" s="5">
        <v>12</v>
      </c>
    </row>
    <row r="99" spans="1:12" ht="24" customHeight="1" x14ac:dyDescent="0.3">
      <c r="A99" s="11">
        <v>200027</v>
      </c>
      <c r="B99" s="8">
        <v>6253500765519</v>
      </c>
      <c r="C99" s="11" t="s">
        <v>25</v>
      </c>
      <c r="D99" s="3" t="s">
        <v>161</v>
      </c>
      <c r="E99" s="3" t="s">
        <v>100</v>
      </c>
      <c r="F99" s="11">
        <v>12</v>
      </c>
      <c r="G99" s="5">
        <v>15.25</v>
      </c>
      <c r="H99" s="5">
        <f t="shared" si="5"/>
        <v>1.0955459770114944</v>
      </c>
      <c r="I99" s="5">
        <f t="shared" si="4"/>
        <v>1.2708333333333333</v>
      </c>
      <c r="J99" s="11"/>
      <c r="K99" s="11"/>
      <c r="L99" s="5">
        <v>1.6</v>
      </c>
    </row>
    <row r="100" spans="1:12" ht="24" customHeight="1" x14ac:dyDescent="0.3">
      <c r="A100" s="11">
        <v>200028</v>
      </c>
      <c r="B100" s="8">
        <v>6253500765526</v>
      </c>
      <c r="C100" s="11" t="s">
        <v>25</v>
      </c>
      <c r="D100" s="3" t="s">
        <v>160</v>
      </c>
      <c r="E100" s="3" t="s">
        <v>101</v>
      </c>
      <c r="F100" s="11">
        <v>12</v>
      </c>
      <c r="G100" s="5">
        <v>15.25</v>
      </c>
      <c r="H100" s="5">
        <f t="shared" si="5"/>
        <v>1.0955459770114944</v>
      </c>
      <c r="I100" s="5">
        <f t="shared" si="4"/>
        <v>1.2708333333333333</v>
      </c>
      <c r="J100" s="11"/>
      <c r="K100" s="11"/>
      <c r="L100" s="5">
        <v>1.6</v>
      </c>
    </row>
  </sheetData>
  <autoFilter ref="A1:L100" xr:uid="{00000000-0001-0000-0000-000000000000}"/>
  <phoneticPr fontId="3" type="noConversion"/>
  <pageMargins left="0" right="0.7" top="0" bottom="0.75" header="0.3" footer="0.3"/>
  <pageSetup scale="6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C740E-DD27-4DFA-8E93-0DC72CBCBCED}">
  <dimension ref="A1:I100"/>
  <sheetViews>
    <sheetView topLeftCell="A11" zoomScaleNormal="100" workbookViewId="0">
      <selection activeCell="D22" sqref="D22"/>
    </sheetView>
  </sheetViews>
  <sheetFormatPr defaultRowHeight="14.4" x14ac:dyDescent="0.3"/>
  <cols>
    <col min="1" max="1" width="11.33203125" style="12" customWidth="1"/>
    <col min="2" max="2" width="16.44140625" style="9" customWidth="1"/>
    <col min="3" max="3" width="19.44140625" style="12" customWidth="1"/>
    <col min="4" max="4" width="39.6640625" bestFit="1" customWidth="1"/>
    <col min="5" max="5" width="43.44140625" bestFit="1" customWidth="1"/>
    <col min="6" max="6" width="8.88671875" style="12"/>
    <col min="7" max="7" width="8.88671875" style="6"/>
    <col min="8" max="8" width="10.5546875" style="6" customWidth="1"/>
    <col min="9" max="9" width="13.5546875" style="6" bestFit="1" customWidth="1"/>
    <col min="10" max="10" width="6.88671875" bestFit="1" customWidth="1"/>
    <col min="11" max="11" width="12.44140625" customWidth="1"/>
    <col min="12" max="12" width="13.33203125" customWidth="1"/>
    <col min="14" max="14" width="10.109375" customWidth="1"/>
  </cols>
  <sheetData>
    <row r="1" spans="1:9" ht="29.4" customHeight="1" x14ac:dyDescent="0.3">
      <c r="A1" s="1" t="s">
        <v>0</v>
      </c>
      <c r="B1" s="2" t="s">
        <v>1</v>
      </c>
      <c r="C1" s="1" t="s">
        <v>2</v>
      </c>
      <c r="D1" s="1" t="s">
        <v>126</v>
      </c>
      <c r="E1" s="1" t="s">
        <v>3</v>
      </c>
      <c r="F1" s="1" t="s">
        <v>4</v>
      </c>
      <c r="G1" s="4" t="s">
        <v>5</v>
      </c>
      <c r="H1" s="4" t="s">
        <v>6</v>
      </c>
      <c r="I1" s="4" t="s">
        <v>224</v>
      </c>
    </row>
    <row r="2" spans="1:9" ht="23.4" customHeight="1" x14ac:dyDescent="0.3">
      <c r="A2" s="11">
        <v>400021</v>
      </c>
      <c r="B2" s="8">
        <v>6253500765090</v>
      </c>
      <c r="C2" s="11" t="s">
        <v>23</v>
      </c>
      <c r="D2" s="3" t="s">
        <v>127</v>
      </c>
      <c r="E2" s="3" t="s">
        <v>108</v>
      </c>
      <c r="F2" s="11">
        <v>12</v>
      </c>
      <c r="G2" s="5">
        <v>9.25</v>
      </c>
      <c r="H2" s="17">
        <f>I2/116%</f>
        <v>0.66451149425287359</v>
      </c>
      <c r="I2" s="5">
        <f>G2/F2</f>
        <v>0.77083333333333337</v>
      </c>
    </row>
    <row r="3" spans="1:9" ht="23.4" customHeight="1" x14ac:dyDescent="0.3">
      <c r="A3" s="11">
        <v>400024</v>
      </c>
      <c r="B3" s="8">
        <v>6253500765076</v>
      </c>
      <c r="C3" s="11" t="s">
        <v>23</v>
      </c>
      <c r="D3" s="3" t="s">
        <v>128</v>
      </c>
      <c r="E3" s="3" t="s">
        <v>109</v>
      </c>
      <c r="F3" s="11">
        <v>12</v>
      </c>
      <c r="G3" s="5">
        <v>9.25</v>
      </c>
      <c r="H3" s="17">
        <f t="shared" ref="H3:H71" si="0">I3/116%</f>
        <v>0.66451149425287359</v>
      </c>
      <c r="I3" s="5">
        <f t="shared" ref="I3:I61" si="1">G3/F3</f>
        <v>0.77083333333333337</v>
      </c>
    </row>
    <row r="4" spans="1:9" ht="23.4" customHeight="1" x14ac:dyDescent="0.3">
      <c r="A4" s="11">
        <v>400022</v>
      </c>
      <c r="B4" s="8">
        <v>6253500765083</v>
      </c>
      <c r="C4" s="11" t="s">
        <v>23</v>
      </c>
      <c r="D4" s="3" t="s">
        <v>129</v>
      </c>
      <c r="E4" s="3" t="s">
        <v>110</v>
      </c>
      <c r="F4" s="11">
        <v>12</v>
      </c>
      <c r="G4" s="5">
        <v>9.25</v>
      </c>
      <c r="H4" s="17">
        <f t="shared" si="0"/>
        <v>0.66451149425287359</v>
      </c>
      <c r="I4" s="5">
        <f t="shared" si="1"/>
        <v>0.77083333333333337</v>
      </c>
    </row>
    <row r="5" spans="1:9" ht="23.4" customHeight="1" x14ac:dyDescent="0.3">
      <c r="A5" s="11">
        <v>400020</v>
      </c>
      <c r="B5" s="8">
        <v>6253500765113</v>
      </c>
      <c r="C5" s="11" t="s">
        <v>23</v>
      </c>
      <c r="D5" s="3" t="s">
        <v>130</v>
      </c>
      <c r="E5" s="3" t="s">
        <v>111</v>
      </c>
      <c r="F5" s="11">
        <v>12</v>
      </c>
      <c r="G5" s="5">
        <v>9.25</v>
      </c>
      <c r="H5" s="17">
        <f t="shared" si="0"/>
        <v>0.66451149425287359</v>
      </c>
      <c r="I5" s="5">
        <f t="shared" si="1"/>
        <v>0.77083333333333337</v>
      </c>
    </row>
    <row r="6" spans="1:9" ht="23.4" customHeight="1" x14ac:dyDescent="0.3">
      <c r="A6" s="11">
        <v>200001</v>
      </c>
      <c r="B6" s="8">
        <v>6253500760019</v>
      </c>
      <c r="C6" s="11" t="s">
        <v>9</v>
      </c>
      <c r="D6" s="3" t="s">
        <v>131</v>
      </c>
      <c r="E6" s="3" t="s">
        <v>26</v>
      </c>
      <c r="F6" s="11">
        <v>18</v>
      </c>
      <c r="G6" s="5">
        <v>13.5</v>
      </c>
      <c r="H6" s="17">
        <f t="shared" si="0"/>
        <v>0.64655172413793105</v>
      </c>
      <c r="I6" s="5">
        <f t="shared" si="1"/>
        <v>0.75</v>
      </c>
    </row>
    <row r="7" spans="1:9" ht="23.4" customHeight="1" x14ac:dyDescent="0.3">
      <c r="A7" s="11">
        <v>200003</v>
      </c>
      <c r="B7" s="8">
        <v>6253500760200</v>
      </c>
      <c r="C7" s="11" t="s">
        <v>9</v>
      </c>
      <c r="D7" s="3" t="s">
        <v>132</v>
      </c>
      <c r="E7" s="3" t="s">
        <v>27</v>
      </c>
      <c r="F7" s="11">
        <v>12</v>
      </c>
      <c r="G7" s="5">
        <v>9</v>
      </c>
      <c r="H7" s="17">
        <f t="shared" si="0"/>
        <v>0.64655172413793105</v>
      </c>
      <c r="I7" s="5">
        <f t="shared" si="1"/>
        <v>0.75</v>
      </c>
    </row>
    <row r="8" spans="1:9" ht="23.4" customHeight="1" x14ac:dyDescent="0.3">
      <c r="A8" s="11">
        <v>200002</v>
      </c>
      <c r="B8" s="8">
        <v>6253500760194</v>
      </c>
      <c r="C8" s="11" t="s">
        <v>9</v>
      </c>
      <c r="D8" s="3" t="s">
        <v>133</v>
      </c>
      <c r="E8" s="3" t="s">
        <v>28</v>
      </c>
      <c r="F8" s="11">
        <v>12</v>
      </c>
      <c r="G8" s="5">
        <v>9</v>
      </c>
      <c r="H8" s="17">
        <f t="shared" si="0"/>
        <v>0.64655172413793105</v>
      </c>
      <c r="I8" s="5">
        <f t="shared" si="1"/>
        <v>0.75</v>
      </c>
    </row>
    <row r="9" spans="1:9" ht="23.4" customHeight="1" x14ac:dyDescent="0.3">
      <c r="A9" s="11">
        <v>200004</v>
      </c>
      <c r="B9" s="8">
        <v>6253500760026</v>
      </c>
      <c r="C9" s="11" t="s">
        <v>9</v>
      </c>
      <c r="D9" s="3" t="s">
        <v>134</v>
      </c>
      <c r="E9" s="3" t="s">
        <v>29</v>
      </c>
      <c r="F9" s="11">
        <v>9</v>
      </c>
      <c r="G9" s="5">
        <v>12</v>
      </c>
      <c r="H9" s="17">
        <f t="shared" si="0"/>
        <v>1.1494252873563218</v>
      </c>
      <c r="I9" s="5">
        <f t="shared" si="1"/>
        <v>1.3333333333333333</v>
      </c>
    </row>
    <row r="10" spans="1:9" ht="23.4" customHeight="1" x14ac:dyDescent="0.3">
      <c r="A10" s="11">
        <v>200006</v>
      </c>
      <c r="B10" s="8">
        <v>6253500760231</v>
      </c>
      <c r="C10" s="11" t="s">
        <v>9</v>
      </c>
      <c r="D10" s="3" t="s">
        <v>135</v>
      </c>
      <c r="E10" s="3" t="s">
        <v>30</v>
      </c>
      <c r="F10" s="11">
        <v>9</v>
      </c>
      <c r="G10" s="5">
        <v>12</v>
      </c>
      <c r="H10" s="17">
        <f t="shared" si="0"/>
        <v>1.1494252873563218</v>
      </c>
      <c r="I10" s="5">
        <f t="shared" si="1"/>
        <v>1.3333333333333333</v>
      </c>
    </row>
    <row r="11" spans="1:9" ht="23.4" customHeight="1" x14ac:dyDescent="0.3">
      <c r="A11" s="11">
        <v>200005</v>
      </c>
      <c r="B11" s="8">
        <v>6253500760255</v>
      </c>
      <c r="C11" s="11" t="s">
        <v>9</v>
      </c>
      <c r="D11" s="3" t="s">
        <v>136</v>
      </c>
      <c r="E11" s="3" t="s">
        <v>31</v>
      </c>
      <c r="F11" s="11">
        <v>9</v>
      </c>
      <c r="G11" s="5">
        <v>12</v>
      </c>
      <c r="H11" s="17">
        <f t="shared" si="0"/>
        <v>1.1494252873563218</v>
      </c>
      <c r="I11" s="5">
        <f t="shared" si="1"/>
        <v>1.3333333333333333</v>
      </c>
    </row>
    <row r="12" spans="1:9" ht="23.4" customHeight="1" x14ac:dyDescent="0.3">
      <c r="A12" s="11">
        <v>200007</v>
      </c>
      <c r="B12" s="8">
        <v>6253500760033</v>
      </c>
      <c r="C12" s="11" t="s">
        <v>9</v>
      </c>
      <c r="D12" s="3" t="s">
        <v>137</v>
      </c>
      <c r="E12" s="3" t="s">
        <v>32</v>
      </c>
      <c r="F12" s="11">
        <v>4</v>
      </c>
      <c r="G12" s="5">
        <v>9.35</v>
      </c>
      <c r="H12" s="17">
        <f t="shared" si="0"/>
        <v>2.0150862068965516</v>
      </c>
      <c r="I12" s="5">
        <f t="shared" si="1"/>
        <v>2.3374999999999999</v>
      </c>
    </row>
    <row r="13" spans="1:9" ht="23.4" customHeight="1" x14ac:dyDescent="0.3">
      <c r="A13" s="11">
        <v>200009</v>
      </c>
      <c r="B13" s="8">
        <v>6253500760248</v>
      </c>
      <c r="C13" s="11" t="s">
        <v>9</v>
      </c>
      <c r="D13" s="3" t="s">
        <v>138</v>
      </c>
      <c r="E13" s="3" t="s">
        <v>33</v>
      </c>
      <c r="F13" s="11">
        <v>4</v>
      </c>
      <c r="G13" s="5">
        <v>9.35</v>
      </c>
      <c r="H13" s="17">
        <f t="shared" si="0"/>
        <v>2.0150862068965516</v>
      </c>
      <c r="I13" s="5">
        <f t="shared" si="1"/>
        <v>2.3374999999999999</v>
      </c>
    </row>
    <row r="14" spans="1:9" ht="23.4" customHeight="1" x14ac:dyDescent="0.3">
      <c r="A14" s="11">
        <v>200008</v>
      </c>
      <c r="B14" s="8">
        <v>6253500760224</v>
      </c>
      <c r="C14" s="11" t="s">
        <v>9</v>
      </c>
      <c r="D14" s="3" t="s">
        <v>139</v>
      </c>
      <c r="E14" s="3" t="s">
        <v>34</v>
      </c>
      <c r="F14" s="11">
        <v>4</v>
      </c>
      <c r="G14" s="5">
        <v>9.35</v>
      </c>
      <c r="H14" s="17">
        <f t="shared" si="0"/>
        <v>2.0150862068965516</v>
      </c>
      <c r="I14" s="5">
        <f t="shared" si="1"/>
        <v>2.3374999999999999</v>
      </c>
    </row>
    <row r="15" spans="1:9" ht="23.4" customHeight="1" x14ac:dyDescent="0.3">
      <c r="A15" s="11">
        <v>200018</v>
      </c>
      <c r="B15" s="8">
        <v>6253500760712</v>
      </c>
      <c r="C15" s="11" t="s">
        <v>9</v>
      </c>
      <c r="D15" s="3" t="s">
        <v>207</v>
      </c>
      <c r="E15" s="3" t="s">
        <v>210</v>
      </c>
      <c r="F15" s="11">
        <v>12</v>
      </c>
      <c r="G15" s="5">
        <v>15.3</v>
      </c>
      <c r="H15" s="17">
        <f t="shared" si="0"/>
        <v>1.0991379310344829</v>
      </c>
      <c r="I15" s="5">
        <f t="shared" si="1"/>
        <v>1.2750000000000001</v>
      </c>
    </row>
    <row r="16" spans="1:9" ht="23.4" customHeight="1" x14ac:dyDescent="0.3">
      <c r="A16" s="11">
        <v>200011</v>
      </c>
      <c r="B16" s="8">
        <v>6253500760705</v>
      </c>
      <c r="C16" s="11" t="s">
        <v>9</v>
      </c>
      <c r="D16" s="3" t="s">
        <v>208</v>
      </c>
      <c r="E16" s="3" t="s">
        <v>209</v>
      </c>
      <c r="F16" s="11">
        <v>12</v>
      </c>
      <c r="G16" s="5">
        <v>15.3</v>
      </c>
      <c r="H16" s="17">
        <f t="shared" si="0"/>
        <v>1.0991379310344829</v>
      </c>
      <c r="I16" s="5">
        <f t="shared" si="1"/>
        <v>1.2750000000000001</v>
      </c>
    </row>
    <row r="17" spans="1:9" ht="23.4" customHeight="1" x14ac:dyDescent="0.3">
      <c r="A17" s="11">
        <v>130080</v>
      </c>
      <c r="B17" s="8">
        <v>6253500761399</v>
      </c>
      <c r="C17" s="11" t="s">
        <v>9</v>
      </c>
      <c r="D17" s="3" t="s">
        <v>131</v>
      </c>
      <c r="E17" s="3" t="s">
        <v>35</v>
      </c>
      <c r="F17" s="11">
        <v>12</v>
      </c>
      <c r="G17" s="5">
        <v>3.65</v>
      </c>
      <c r="H17" s="17">
        <f t="shared" si="0"/>
        <v>0.26221264367816094</v>
      </c>
      <c r="I17" s="5">
        <f t="shared" si="1"/>
        <v>0.30416666666666664</v>
      </c>
    </row>
    <row r="18" spans="1:9" ht="24" customHeight="1" x14ac:dyDescent="0.3">
      <c r="B18" s="8">
        <v>6253500765571</v>
      </c>
      <c r="C18" s="11" t="s">
        <v>9</v>
      </c>
      <c r="D18" s="3" t="s">
        <v>132</v>
      </c>
      <c r="E18" s="3" t="s">
        <v>235</v>
      </c>
      <c r="F18" s="11">
        <v>12</v>
      </c>
      <c r="G18" s="5">
        <v>3.65</v>
      </c>
      <c r="H18" s="17">
        <v>0.26</v>
      </c>
      <c r="I18" s="5">
        <v>0.3</v>
      </c>
    </row>
    <row r="19" spans="1:9" ht="24" customHeight="1" x14ac:dyDescent="0.3">
      <c r="A19" s="11"/>
      <c r="B19" s="8">
        <v>6253500765564</v>
      </c>
      <c r="C19" s="11" t="s">
        <v>9</v>
      </c>
      <c r="D19" s="3" t="s">
        <v>232</v>
      </c>
      <c r="E19" s="3" t="s">
        <v>234</v>
      </c>
      <c r="F19" s="11">
        <v>12</v>
      </c>
      <c r="G19" s="5">
        <v>3.65</v>
      </c>
      <c r="H19" s="17">
        <v>0.26</v>
      </c>
      <c r="I19" s="5">
        <v>0.3</v>
      </c>
    </row>
    <row r="20" spans="1:9" ht="23.4" customHeight="1" x14ac:dyDescent="0.3">
      <c r="A20" s="11">
        <v>130082</v>
      </c>
      <c r="B20" s="8">
        <v>6253500763041</v>
      </c>
      <c r="C20" s="11" t="s">
        <v>9</v>
      </c>
      <c r="D20" s="3" t="s">
        <v>137</v>
      </c>
      <c r="E20" s="3" t="s">
        <v>36</v>
      </c>
      <c r="F20" s="11">
        <v>4</v>
      </c>
      <c r="G20" s="5">
        <v>5</v>
      </c>
      <c r="H20" s="17">
        <f>I20/116%</f>
        <v>1.0775862068965518</v>
      </c>
      <c r="I20" s="5">
        <f t="shared" si="1"/>
        <v>1.25</v>
      </c>
    </row>
    <row r="21" spans="1:9" ht="23.4" customHeight="1" x14ac:dyDescent="0.3">
      <c r="A21" s="11"/>
      <c r="B21" s="8">
        <v>6253500765540</v>
      </c>
      <c r="C21" s="11" t="s">
        <v>9</v>
      </c>
      <c r="D21" s="3" t="s">
        <v>138</v>
      </c>
      <c r="E21" s="3" t="s">
        <v>230</v>
      </c>
      <c r="F21" s="11">
        <v>4</v>
      </c>
      <c r="G21" s="5">
        <v>5</v>
      </c>
      <c r="H21" s="17">
        <f t="shared" si="0"/>
        <v>1.0775862068965518</v>
      </c>
      <c r="I21" s="5">
        <f t="shared" si="1"/>
        <v>1.25</v>
      </c>
    </row>
    <row r="22" spans="1:9" ht="23.4" customHeight="1" x14ac:dyDescent="0.3">
      <c r="A22" s="11"/>
      <c r="B22" s="8">
        <v>6253500765557</v>
      </c>
      <c r="C22" s="11" t="s">
        <v>9</v>
      </c>
      <c r="D22" s="3" t="s">
        <v>231</v>
      </c>
      <c r="E22" s="3" t="s">
        <v>233</v>
      </c>
      <c r="F22" s="11">
        <v>4</v>
      </c>
      <c r="G22" s="5">
        <v>5</v>
      </c>
      <c r="H22" s="17">
        <f t="shared" si="0"/>
        <v>1.0775862068965518</v>
      </c>
      <c r="I22" s="5">
        <f t="shared" si="1"/>
        <v>1.25</v>
      </c>
    </row>
    <row r="23" spans="1:9" ht="23.4" customHeight="1" x14ac:dyDescent="0.3">
      <c r="A23" s="11">
        <v>500003</v>
      </c>
      <c r="B23" s="8">
        <v>6253500760095</v>
      </c>
      <c r="C23" s="11" t="s">
        <v>13</v>
      </c>
      <c r="D23" s="3" t="s">
        <v>140</v>
      </c>
      <c r="E23" s="3" t="s">
        <v>49</v>
      </c>
      <c r="F23" s="11">
        <v>12</v>
      </c>
      <c r="G23" s="5">
        <v>12.75</v>
      </c>
      <c r="H23" s="17">
        <f t="shared" si="0"/>
        <v>0.91594827586206906</v>
      </c>
      <c r="I23" s="5">
        <f t="shared" si="1"/>
        <v>1.0625</v>
      </c>
    </row>
    <row r="24" spans="1:9" ht="23.4" customHeight="1" x14ac:dyDescent="0.3">
      <c r="A24" s="11">
        <v>300002</v>
      </c>
      <c r="B24" s="8">
        <v>6253500760064</v>
      </c>
      <c r="C24" s="11" t="s">
        <v>12</v>
      </c>
      <c r="D24" s="3" t="s">
        <v>141</v>
      </c>
      <c r="E24" s="3" t="s">
        <v>37</v>
      </c>
      <c r="F24" s="11">
        <v>12</v>
      </c>
      <c r="G24" s="5">
        <v>11</v>
      </c>
      <c r="H24" s="17">
        <f t="shared" si="0"/>
        <v>0.79022988505747127</v>
      </c>
      <c r="I24" s="5">
        <f t="shared" si="1"/>
        <v>0.91666666666666663</v>
      </c>
    </row>
    <row r="25" spans="1:9" ht="23.4" customHeight="1" x14ac:dyDescent="0.3">
      <c r="A25" s="11">
        <v>300005</v>
      </c>
      <c r="B25" s="8">
        <v>6253500761313</v>
      </c>
      <c r="C25" s="11" t="s">
        <v>12</v>
      </c>
      <c r="D25" s="3" t="s">
        <v>142</v>
      </c>
      <c r="E25" s="3" t="s">
        <v>38</v>
      </c>
      <c r="F25" s="11">
        <v>12</v>
      </c>
      <c r="G25" s="5">
        <v>11</v>
      </c>
      <c r="H25" s="17">
        <f t="shared" si="0"/>
        <v>0.79022988505747127</v>
      </c>
      <c r="I25" s="5">
        <f t="shared" si="1"/>
        <v>0.91666666666666663</v>
      </c>
    </row>
    <row r="26" spans="1:9" ht="23.4" customHeight="1" x14ac:dyDescent="0.3">
      <c r="A26" s="11">
        <v>300004</v>
      </c>
      <c r="B26" s="8">
        <v>6253500760187</v>
      </c>
      <c r="C26" s="11" t="s">
        <v>12</v>
      </c>
      <c r="D26" s="3" t="s">
        <v>143</v>
      </c>
      <c r="E26" s="3" t="s">
        <v>39</v>
      </c>
      <c r="F26" s="11">
        <v>12</v>
      </c>
      <c r="G26" s="5">
        <v>11</v>
      </c>
      <c r="H26" s="17">
        <f t="shared" si="0"/>
        <v>0.79022988505747127</v>
      </c>
      <c r="I26" s="5">
        <f t="shared" si="1"/>
        <v>0.91666666666666663</v>
      </c>
    </row>
    <row r="27" spans="1:9" ht="23.4" customHeight="1" x14ac:dyDescent="0.3">
      <c r="A27" s="11">
        <v>300010</v>
      </c>
      <c r="B27" s="8">
        <v>6253500765489</v>
      </c>
      <c r="C27" s="11" t="s">
        <v>12</v>
      </c>
      <c r="D27" s="3" t="s">
        <v>144</v>
      </c>
      <c r="E27" s="3" t="s">
        <v>40</v>
      </c>
      <c r="F27" s="11">
        <v>12</v>
      </c>
      <c r="G27" s="5">
        <v>11</v>
      </c>
      <c r="H27" s="17">
        <f t="shared" si="0"/>
        <v>0.79022988505747127</v>
      </c>
      <c r="I27" s="5">
        <f t="shared" si="1"/>
        <v>0.91666666666666663</v>
      </c>
    </row>
    <row r="28" spans="1:9" ht="23.4" customHeight="1" x14ac:dyDescent="0.3">
      <c r="A28" s="11">
        <v>300001</v>
      </c>
      <c r="B28" s="8">
        <v>6253500760057</v>
      </c>
      <c r="C28" s="11" t="s">
        <v>12</v>
      </c>
      <c r="D28" s="3" t="s">
        <v>145</v>
      </c>
      <c r="E28" s="3" t="s">
        <v>41</v>
      </c>
      <c r="F28" s="11">
        <v>12</v>
      </c>
      <c r="G28" s="5">
        <v>11</v>
      </c>
      <c r="H28" s="17">
        <f t="shared" si="0"/>
        <v>0.79022988505747127</v>
      </c>
      <c r="I28" s="5">
        <f t="shared" si="1"/>
        <v>0.91666666666666663</v>
      </c>
    </row>
    <row r="29" spans="1:9" ht="23.4" customHeight="1" x14ac:dyDescent="0.3">
      <c r="A29" s="11">
        <v>300021</v>
      </c>
      <c r="B29" s="8">
        <v>6253500761511</v>
      </c>
      <c r="C29" s="11" t="s">
        <v>12</v>
      </c>
      <c r="D29" s="3" t="s">
        <v>146</v>
      </c>
      <c r="E29" s="3" t="s">
        <v>42</v>
      </c>
      <c r="F29" s="11">
        <v>6</v>
      </c>
      <c r="G29" s="5">
        <v>10.5</v>
      </c>
      <c r="H29" s="17">
        <f t="shared" si="0"/>
        <v>1.5086206896551726</v>
      </c>
      <c r="I29" s="5">
        <f t="shared" si="1"/>
        <v>1.75</v>
      </c>
    </row>
    <row r="30" spans="1:9" ht="23.4" customHeight="1" x14ac:dyDescent="0.3">
      <c r="A30" s="11">
        <v>300008</v>
      </c>
      <c r="B30" s="8">
        <v>6253500761498</v>
      </c>
      <c r="C30" s="11" t="s">
        <v>12</v>
      </c>
      <c r="D30" s="3" t="s">
        <v>147</v>
      </c>
      <c r="E30" s="3" t="s">
        <v>43</v>
      </c>
      <c r="F30" s="11">
        <v>6</v>
      </c>
      <c r="G30" s="5">
        <v>10.5</v>
      </c>
      <c r="H30" s="17">
        <f t="shared" si="0"/>
        <v>1.5086206896551726</v>
      </c>
      <c r="I30" s="5">
        <f t="shared" si="1"/>
        <v>1.75</v>
      </c>
    </row>
    <row r="31" spans="1:9" ht="23.4" customHeight="1" x14ac:dyDescent="0.3">
      <c r="A31" s="11">
        <v>300007</v>
      </c>
      <c r="B31" s="8">
        <v>6253500761467</v>
      </c>
      <c r="C31" s="11" t="s">
        <v>12</v>
      </c>
      <c r="D31" s="3" t="s">
        <v>148</v>
      </c>
      <c r="E31" s="3" t="s">
        <v>44</v>
      </c>
      <c r="F31" s="11">
        <v>6</v>
      </c>
      <c r="G31" s="5">
        <v>10.5</v>
      </c>
      <c r="H31" s="17">
        <f t="shared" si="0"/>
        <v>1.5086206896551726</v>
      </c>
      <c r="I31" s="5">
        <f t="shared" si="1"/>
        <v>1.75</v>
      </c>
    </row>
    <row r="32" spans="1:9" ht="23.4" customHeight="1" x14ac:dyDescent="0.3">
      <c r="A32" s="11">
        <v>300012</v>
      </c>
      <c r="B32" s="8">
        <v>6253500761504</v>
      </c>
      <c r="C32" s="11" t="s">
        <v>12</v>
      </c>
      <c r="D32" s="3" t="s">
        <v>149</v>
      </c>
      <c r="E32" s="3" t="s">
        <v>45</v>
      </c>
      <c r="F32" s="11">
        <v>6</v>
      </c>
      <c r="G32" s="5">
        <v>10.5</v>
      </c>
      <c r="H32" s="17">
        <f t="shared" si="0"/>
        <v>1.5086206896551726</v>
      </c>
      <c r="I32" s="5">
        <f t="shared" si="1"/>
        <v>1.75</v>
      </c>
    </row>
    <row r="33" spans="1:9" ht="23.4" customHeight="1" x14ac:dyDescent="0.3">
      <c r="A33" s="11">
        <v>300009</v>
      </c>
      <c r="B33" s="8">
        <v>6253500761474</v>
      </c>
      <c r="C33" s="11" t="s">
        <v>12</v>
      </c>
      <c r="D33" s="3" t="s">
        <v>150</v>
      </c>
      <c r="E33" s="3" t="s">
        <v>46</v>
      </c>
      <c r="F33" s="11">
        <v>6</v>
      </c>
      <c r="G33" s="5">
        <v>10.5</v>
      </c>
      <c r="H33" s="17">
        <f t="shared" si="0"/>
        <v>1.5086206896551726</v>
      </c>
      <c r="I33" s="5">
        <f t="shared" si="1"/>
        <v>1.75</v>
      </c>
    </row>
    <row r="34" spans="1:9" ht="23.4" customHeight="1" x14ac:dyDescent="0.3">
      <c r="A34" s="11">
        <v>300006</v>
      </c>
      <c r="B34" s="8">
        <v>6253500761450</v>
      </c>
      <c r="C34" s="11" t="s">
        <v>12</v>
      </c>
      <c r="D34" s="3" t="s">
        <v>151</v>
      </c>
      <c r="E34" s="3" t="s">
        <v>47</v>
      </c>
      <c r="F34" s="11">
        <v>6</v>
      </c>
      <c r="G34" s="5">
        <v>10.5</v>
      </c>
      <c r="H34" s="17">
        <f t="shared" si="0"/>
        <v>1.5086206896551726</v>
      </c>
      <c r="I34" s="5">
        <f t="shared" si="1"/>
        <v>1.75</v>
      </c>
    </row>
    <row r="35" spans="1:9" ht="23.4" customHeight="1" x14ac:dyDescent="0.3">
      <c r="A35" s="11">
        <v>300011</v>
      </c>
      <c r="B35" s="8">
        <v>6253500761481</v>
      </c>
      <c r="C35" s="11" t="s">
        <v>12</v>
      </c>
      <c r="D35" s="3" t="s">
        <v>152</v>
      </c>
      <c r="E35" s="3" t="s">
        <v>48</v>
      </c>
      <c r="F35" s="11">
        <v>6</v>
      </c>
      <c r="G35" s="5">
        <v>10.5</v>
      </c>
      <c r="H35" s="17">
        <f t="shared" si="0"/>
        <v>1.5086206896551726</v>
      </c>
      <c r="I35" s="5">
        <f t="shared" si="1"/>
        <v>1.75</v>
      </c>
    </row>
    <row r="36" spans="1:9" ht="23.4" customHeight="1" x14ac:dyDescent="0.3">
      <c r="A36" s="11"/>
      <c r="B36" s="8">
        <v>6253500763607</v>
      </c>
      <c r="C36" s="11" t="s">
        <v>12</v>
      </c>
      <c r="D36" s="3" t="s">
        <v>237</v>
      </c>
      <c r="E36" s="3" t="s">
        <v>236</v>
      </c>
      <c r="F36" s="11">
        <v>4</v>
      </c>
      <c r="G36" s="5">
        <v>14.5</v>
      </c>
      <c r="H36" s="5">
        <f t="shared" si="0"/>
        <v>3.125</v>
      </c>
      <c r="I36" s="5">
        <f>G36/4</f>
        <v>3.625</v>
      </c>
    </row>
    <row r="37" spans="1:9" ht="23.4" customHeight="1" x14ac:dyDescent="0.3">
      <c r="A37" s="11">
        <v>500001</v>
      </c>
      <c r="B37" s="8">
        <v>6253500760132</v>
      </c>
      <c r="C37" s="11" t="s">
        <v>14</v>
      </c>
      <c r="D37" s="3" t="s">
        <v>153</v>
      </c>
      <c r="E37" s="3" t="s">
        <v>50</v>
      </c>
      <c r="F37" s="11">
        <v>12</v>
      </c>
      <c r="G37" s="5">
        <v>15.3</v>
      </c>
      <c r="H37" s="17">
        <f t="shared" si="0"/>
        <v>1.0991379310344829</v>
      </c>
      <c r="I37" s="5">
        <f t="shared" si="1"/>
        <v>1.2750000000000001</v>
      </c>
    </row>
    <row r="38" spans="1:9" ht="23.4" customHeight="1" x14ac:dyDescent="0.3">
      <c r="A38" s="11">
        <v>600045</v>
      </c>
      <c r="B38" s="8">
        <v>6253500762679</v>
      </c>
      <c r="C38" s="11" t="s">
        <v>15</v>
      </c>
      <c r="D38" s="3" t="s">
        <v>154</v>
      </c>
      <c r="E38" s="3" t="s">
        <v>52</v>
      </c>
      <c r="F38" s="11">
        <v>12</v>
      </c>
      <c r="G38" s="5">
        <v>11</v>
      </c>
      <c r="H38" s="17">
        <f t="shared" si="0"/>
        <v>0.79022988505747127</v>
      </c>
      <c r="I38" s="5">
        <f t="shared" si="1"/>
        <v>0.91666666666666663</v>
      </c>
    </row>
    <row r="39" spans="1:9" ht="23.4" customHeight="1" x14ac:dyDescent="0.3">
      <c r="A39" s="11">
        <v>600043</v>
      </c>
      <c r="B39" s="8">
        <v>6253500762662</v>
      </c>
      <c r="C39" s="11" t="s">
        <v>15</v>
      </c>
      <c r="D39" s="3" t="s">
        <v>155</v>
      </c>
      <c r="E39" s="3" t="s">
        <v>53</v>
      </c>
      <c r="F39" s="11">
        <v>12</v>
      </c>
      <c r="G39" s="5">
        <v>11</v>
      </c>
      <c r="H39" s="17">
        <f t="shared" si="0"/>
        <v>0.79022988505747127</v>
      </c>
      <c r="I39" s="5">
        <f t="shared" si="1"/>
        <v>0.91666666666666663</v>
      </c>
    </row>
    <row r="40" spans="1:9" ht="23.4" customHeight="1" x14ac:dyDescent="0.3">
      <c r="A40" s="11">
        <v>600044</v>
      </c>
      <c r="B40" s="8">
        <v>6253500762655</v>
      </c>
      <c r="C40" s="11" t="s">
        <v>15</v>
      </c>
      <c r="D40" s="3" t="s">
        <v>156</v>
      </c>
      <c r="E40" s="3" t="s">
        <v>54</v>
      </c>
      <c r="F40" s="11">
        <v>12</v>
      </c>
      <c r="G40" s="5">
        <v>11</v>
      </c>
      <c r="H40" s="17">
        <f t="shared" si="0"/>
        <v>0.79022988505747127</v>
      </c>
      <c r="I40" s="5">
        <f t="shared" si="1"/>
        <v>0.91666666666666663</v>
      </c>
    </row>
    <row r="41" spans="1:9" ht="23.4" customHeight="1" x14ac:dyDescent="0.3">
      <c r="A41" s="11">
        <v>600031</v>
      </c>
      <c r="B41" s="8">
        <v>6253500762648</v>
      </c>
      <c r="C41" s="11" t="s">
        <v>15</v>
      </c>
      <c r="D41" s="3" t="s">
        <v>157</v>
      </c>
      <c r="E41" s="3" t="s">
        <v>55</v>
      </c>
      <c r="F41" s="11">
        <v>6</v>
      </c>
      <c r="G41" s="5">
        <v>10.5</v>
      </c>
      <c r="H41" s="17">
        <f t="shared" si="0"/>
        <v>1.5086206896551726</v>
      </c>
      <c r="I41" s="5">
        <f t="shared" si="1"/>
        <v>1.75</v>
      </c>
    </row>
    <row r="42" spans="1:9" ht="23.4" customHeight="1" x14ac:dyDescent="0.3">
      <c r="A42" s="11">
        <v>600032</v>
      </c>
      <c r="B42" s="8">
        <v>6253500761429</v>
      </c>
      <c r="C42" s="11" t="s">
        <v>15</v>
      </c>
      <c r="D42" s="3" t="s">
        <v>158</v>
      </c>
      <c r="E42" s="3" t="s">
        <v>56</v>
      </c>
      <c r="F42" s="11">
        <v>6</v>
      </c>
      <c r="G42" s="5">
        <v>10.5</v>
      </c>
      <c r="H42" s="17">
        <f t="shared" si="0"/>
        <v>1.5086206896551726</v>
      </c>
      <c r="I42" s="5">
        <f t="shared" si="1"/>
        <v>1.75</v>
      </c>
    </row>
    <row r="43" spans="1:9" ht="23.4" customHeight="1" x14ac:dyDescent="0.3">
      <c r="A43" s="11">
        <v>600033</v>
      </c>
      <c r="B43" s="8">
        <v>6253500762914</v>
      </c>
      <c r="C43" s="11" t="s">
        <v>15</v>
      </c>
      <c r="D43" s="3" t="s">
        <v>159</v>
      </c>
      <c r="E43" s="3" t="s">
        <v>57</v>
      </c>
      <c r="F43" s="11">
        <v>6</v>
      </c>
      <c r="G43" s="5">
        <v>10.5</v>
      </c>
      <c r="H43" s="17">
        <f t="shared" si="0"/>
        <v>1.5086206896551726</v>
      </c>
      <c r="I43" s="5">
        <f t="shared" si="1"/>
        <v>1.75</v>
      </c>
    </row>
    <row r="44" spans="1:9" ht="23.4" customHeight="1" x14ac:dyDescent="0.3">
      <c r="A44" s="11">
        <v>600019</v>
      </c>
      <c r="B44" s="8">
        <v>6253500760736</v>
      </c>
      <c r="C44" s="11" t="s">
        <v>16</v>
      </c>
      <c r="D44" s="3" t="s">
        <v>162</v>
      </c>
      <c r="E44" s="3" t="s">
        <v>58</v>
      </c>
      <c r="F44" s="11">
        <v>12</v>
      </c>
      <c r="G44" s="5">
        <v>11.5</v>
      </c>
      <c r="H44" s="17">
        <f t="shared" si="0"/>
        <v>0.82614942528735646</v>
      </c>
      <c r="I44" s="5">
        <f t="shared" si="1"/>
        <v>0.95833333333333337</v>
      </c>
    </row>
    <row r="45" spans="1:9" ht="23.4" customHeight="1" x14ac:dyDescent="0.3">
      <c r="A45" s="11">
        <v>600023</v>
      </c>
      <c r="B45" s="8">
        <v>6253500763034</v>
      </c>
      <c r="C45" s="11" t="s">
        <v>16</v>
      </c>
      <c r="D45" s="3" t="s">
        <v>163</v>
      </c>
      <c r="E45" s="3" t="s">
        <v>59</v>
      </c>
      <c r="F45" s="11">
        <v>12</v>
      </c>
      <c r="G45" s="5">
        <v>11.5</v>
      </c>
      <c r="H45" s="17">
        <f t="shared" si="0"/>
        <v>0.82614942528735646</v>
      </c>
      <c r="I45" s="5">
        <f t="shared" si="1"/>
        <v>0.95833333333333337</v>
      </c>
    </row>
    <row r="46" spans="1:9" ht="23.4" customHeight="1" x14ac:dyDescent="0.3">
      <c r="A46" s="11">
        <v>600020</v>
      </c>
      <c r="B46" s="8">
        <v>6253500761184</v>
      </c>
      <c r="C46" s="11" t="s">
        <v>16</v>
      </c>
      <c r="D46" s="3" t="s">
        <v>164</v>
      </c>
      <c r="E46" s="3" t="s">
        <v>60</v>
      </c>
      <c r="F46" s="11">
        <v>12</v>
      </c>
      <c r="G46" s="5">
        <v>11.5</v>
      </c>
      <c r="H46" s="17">
        <f t="shared" si="0"/>
        <v>0.82614942528735646</v>
      </c>
      <c r="I46" s="5">
        <f t="shared" si="1"/>
        <v>0.95833333333333337</v>
      </c>
    </row>
    <row r="47" spans="1:9" ht="23.4" customHeight="1" x14ac:dyDescent="0.3">
      <c r="A47" s="11">
        <v>600029</v>
      </c>
      <c r="B47" s="8">
        <v>6253500761191</v>
      </c>
      <c r="C47" s="11" t="s">
        <v>16</v>
      </c>
      <c r="D47" s="3" t="s">
        <v>165</v>
      </c>
      <c r="E47" s="3" t="s">
        <v>114</v>
      </c>
      <c r="F47" s="11">
        <v>6</v>
      </c>
      <c r="G47" s="5">
        <v>11</v>
      </c>
      <c r="H47" s="17">
        <f t="shared" si="0"/>
        <v>1.5804597701149425</v>
      </c>
      <c r="I47" s="5">
        <f t="shared" si="1"/>
        <v>1.8333333333333333</v>
      </c>
    </row>
    <row r="48" spans="1:9" ht="23.4" customHeight="1" x14ac:dyDescent="0.3">
      <c r="A48" s="11">
        <v>600030</v>
      </c>
      <c r="B48" s="8">
        <v>6253500763195</v>
      </c>
      <c r="C48" s="11" t="s">
        <v>16</v>
      </c>
      <c r="D48" s="3" t="s">
        <v>166</v>
      </c>
      <c r="E48" s="3" t="s">
        <v>115</v>
      </c>
      <c r="F48" s="11">
        <v>6</v>
      </c>
      <c r="G48" s="5">
        <v>11</v>
      </c>
      <c r="H48" s="17">
        <f t="shared" si="0"/>
        <v>1.5804597701149425</v>
      </c>
      <c r="I48" s="5">
        <f t="shared" si="1"/>
        <v>1.8333333333333333</v>
      </c>
    </row>
    <row r="49" spans="1:9" ht="23.4" customHeight="1" x14ac:dyDescent="0.3">
      <c r="A49" s="11">
        <v>600025</v>
      </c>
      <c r="B49" s="8">
        <v>6253500761221</v>
      </c>
      <c r="C49" s="11" t="s">
        <v>16</v>
      </c>
      <c r="D49" s="3" t="s">
        <v>167</v>
      </c>
      <c r="E49" s="3" t="s">
        <v>113</v>
      </c>
      <c r="F49" s="11">
        <v>6</v>
      </c>
      <c r="G49" s="5">
        <v>11</v>
      </c>
      <c r="H49" s="17">
        <f t="shared" si="0"/>
        <v>1.5804597701149425</v>
      </c>
      <c r="I49" s="5">
        <f t="shared" si="1"/>
        <v>1.8333333333333333</v>
      </c>
    </row>
    <row r="50" spans="1:9" ht="23.4" customHeight="1" x14ac:dyDescent="0.3">
      <c r="A50" s="11">
        <v>600018</v>
      </c>
      <c r="B50" s="8">
        <v>6253500760156</v>
      </c>
      <c r="C50" s="11" t="s">
        <v>17</v>
      </c>
      <c r="D50" s="3" t="s">
        <v>168</v>
      </c>
      <c r="E50" s="3" t="s">
        <v>61</v>
      </c>
      <c r="F50" s="11">
        <v>12</v>
      </c>
      <c r="G50" s="5">
        <v>5.56</v>
      </c>
      <c r="H50" s="17">
        <f t="shared" si="0"/>
        <v>0.39942528735632188</v>
      </c>
      <c r="I50" s="5">
        <f t="shared" si="1"/>
        <v>0.46333333333333332</v>
      </c>
    </row>
    <row r="51" spans="1:9" ht="23.4" customHeight="1" x14ac:dyDescent="0.3">
      <c r="A51" s="11">
        <v>600040</v>
      </c>
      <c r="B51" s="8">
        <v>6253011995245</v>
      </c>
      <c r="C51" s="11" t="s">
        <v>17</v>
      </c>
      <c r="D51" s="3" t="s">
        <v>169</v>
      </c>
      <c r="E51" s="3" t="s">
        <v>62</v>
      </c>
      <c r="F51" s="11">
        <v>12</v>
      </c>
      <c r="G51" s="5">
        <v>9.9</v>
      </c>
      <c r="H51" s="17">
        <f t="shared" si="0"/>
        <v>0.7112068965517242</v>
      </c>
      <c r="I51" s="5">
        <f t="shared" si="1"/>
        <v>0.82500000000000007</v>
      </c>
    </row>
    <row r="52" spans="1:9" ht="23.4" customHeight="1" x14ac:dyDescent="0.3">
      <c r="A52" s="11">
        <v>600132</v>
      </c>
      <c r="B52" s="8">
        <v>6253500764949</v>
      </c>
      <c r="C52" s="11" t="s">
        <v>18</v>
      </c>
      <c r="D52" s="3" t="s">
        <v>170</v>
      </c>
      <c r="E52" s="3" t="s">
        <v>63</v>
      </c>
      <c r="F52" s="11">
        <v>12</v>
      </c>
      <c r="G52" s="5">
        <v>11</v>
      </c>
      <c r="H52" s="17">
        <f t="shared" si="0"/>
        <v>0.79022988505747127</v>
      </c>
      <c r="I52" s="5">
        <f t="shared" si="1"/>
        <v>0.91666666666666663</v>
      </c>
    </row>
    <row r="53" spans="1:9" ht="23.4" customHeight="1" x14ac:dyDescent="0.3">
      <c r="A53" s="11">
        <v>600130</v>
      </c>
      <c r="B53" s="8">
        <v>6253500764963</v>
      </c>
      <c r="C53" s="11" t="s">
        <v>18</v>
      </c>
      <c r="D53" s="3" t="s">
        <v>171</v>
      </c>
      <c r="E53" s="3" t="s">
        <v>64</v>
      </c>
      <c r="F53" s="11">
        <v>12</v>
      </c>
      <c r="G53" s="5">
        <v>11</v>
      </c>
      <c r="H53" s="17">
        <f t="shared" si="0"/>
        <v>0.79022988505747127</v>
      </c>
      <c r="I53" s="5">
        <f t="shared" si="1"/>
        <v>0.91666666666666663</v>
      </c>
    </row>
    <row r="54" spans="1:9" ht="23.4" customHeight="1" x14ac:dyDescent="0.3">
      <c r="A54" s="11">
        <v>600134</v>
      </c>
      <c r="B54" s="8">
        <v>6253500764956</v>
      </c>
      <c r="C54" s="11" t="s">
        <v>18</v>
      </c>
      <c r="D54" s="3" t="s">
        <v>172</v>
      </c>
      <c r="E54" s="3" t="s">
        <v>65</v>
      </c>
      <c r="F54" s="11">
        <v>12</v>
      </c>
      <c r="G54" s="5">
        <v>11</v>
      </c>
      <c r="H54" s="17">
        <f t="shared" si="0"/>
        <v>0.79022988505747127</v>
      </c>
      <c r="I54" s="5">
        <f t="shared" si="1"/>
        <v>0.91666666666666663</v>
      </c>
    </row>
    <row r="55" spans="1:9" ht="23.4" customHeight="1" x14ac:dyDescent="0.3">
      <c r="A55" s="11">
        <v>600131</v>
      </c>
      <c r="B55" s="8">
        <v>6253500764932</v>
      </c>
      <c r="C55" s="11" t="s">
        <v>18</v>
      </c>
      <c r="D55" s="3" t="s">
        <v>173</v>
      </c>
      <c r="E55" s="3" t="s">
        <v>66</v>
      </c>
      <c r="F55" s="11">
        <v>12</v>
      </c>
      <c r="G55" s="5">
        <v>11</v>
      </c>
      <c r="H55" s="17">
        <f t="shared" si="0"/>
        <v>0.79022988505747127</v>
      </c>
      <c r="I55" s="5">
        <f t="shared" si="1"/>
        <v>0.91666666666666663</v>
      </c>
    </row>
    <row r="56" spans="1:9" ht="23.4" customHeight="1" x14ac:dyDescent="0.3">
      <c r="A56" s="11">
        <v>600133</v>
      </c>
      <c r="B56" s="8">
        <v>6253500764925</v>
      </c>
      <c r="C56" s="11" t="s">
        <v>18</v>
      </c>
      <c r="D56" s="3" t="s">
        <v>174</v>
      </c>
      <c r="E56" s="3" t="s">
        <v>67</v>
      </c>
      <c r="F56" s="11">
        <v>12</v>
      </c>
      <c r="G56" s="5">
        <v>11</v>
      </c>
      <c r="H56" s="17">
        <f t="shared" si="0"/>
        <v>0.79022988505747127</v>
      </c>
      <c r="I56" s="5">
        <f t="shared" si="1"/>
        <v>0.91666666666666663</v>
      </c>
    </row>
    <row r="57" spans="1:9" ht="23.4" customHeight="1" x14ac:dyDescent="0.3">
      <c r="A57" s="11">
        <v>600140</v>
      </c>
      <c r="B57" s="8">
        <v>6253500765052</v>
      </c>
      <c r="C57" s="11" t="s">
        <v>18</v>
      </c>
      <c r="D57" s="3" t="s">
        <v>175</v>
      </c>
      <c r="E57" s="3" t="s">
        <v>68</v>
      </c>
      <c r="F57" s="11">
        <v>6</v>
      </c>
      <c r="G57" s="5">
        <v>9.5</v>
      </c>
      <c r="H57" s="17">
        <f t="shared" si="0"/>
        <v>1.3649425287356323</v>
      </c>
      <c r="I57" s="5">
        <f t="shared" si="1"/>
        <v>1.5833333333333333</v>
      </c>
    </row>
    <row r="58" spans="1:9" ht="23.4" customHeight="1" x14ac:dyDescent="0.3">
      <c r="A58" s="11">
        <v>600140</v>
      </c>
      <c r="B58" s="8">
        <v>6253500765038</v>
      </c>
      <c r="C58" s="11" t="s">
        <v>18</v>
      </c>
      <c r="D58" s="3" t="s">
        <v>176</v>
      </c>
      <c r="E58" s="3" t="s">
        <v>69</v>
      </c>
      <c r="F58" s="11">
        <v>6</v>
      </c>
      <c r="G58" s="5">
        <v>9.5</v>
      </c>
      <c r="H58" s="17">
        <f t="shared" si="0"/>
        <v>1.3649425287356323</v>
      </c>
      <c r="I58" s="5">
        <f t="shared" si="1"/>
        <v>1.5833333333333333</v>
      </c>
    </row>
    <row r="59" spans="1:9" ht="23.4" customHeight="1" x14ac:dyDescent="0.3">
      <c r="A59" s="11">
        <v>600140</v>
      </c>
      <c r="B59" s="8">
        <v>6253500765069</v>
      </c>
      <c r="C59" s="11" t="s">
        <v>18</v>
      </c>
      <c r="D59" s="3" t="s">
        <v>177</v>
      </c>
      <c r="E59" s="3" t="s">
        <v>70</v>
      </c>
      <c r="F59" s="11">
        <v>6</v>
      </c>
      <c r="G59" s="5">
        <v>9.5</v>
      </c>
      <c r="H59" s="17">
        <f t="shared" si="0"/>
        <v>1.3649425287356323</v>
      </c>
      <c r="I59" s="5">
        <f t="shared" si="1"/>
        <v>1.5833333333333333</v>
      </c>
    </row>
    <row r="60" spans="1:9" ht="23.4" customHeight="1" x14ac:dyDescent="0.3">
      <c r="A60" s="11">
        <v>600140</v>
      </c>
      <c r="B60" s="8">
        <v>6253500765045</v>
      </c>
      <c r="C60" s="11" t="s">
        <v>18</v>
      </c>
      <c r="D60" s="3" t="s">
        <v>178</v>
      </c>
      <c r="E60" s="3" t="s">
        <v>71</v>
      </c>
      <c r="F60" s="11">
        <v>6</v>
      </c>
      <c r="G60" s="5">
        <v>9.5</v>
      </c>
      <c r="H60" s="17">
        <f t="shared" si="0"/>
        <v>1.3649425287356323</v>
      </c>
      <c r="I60" s="5">
        <f t="shared" si="1"/>
        <v>1.5833333333333333</v>
      </c>
    </row>
    <row r="61" spans="1:9" ht="23.4" customHeight="1" x14ac:dyDescent="0.3">
      <c r="A61" s="11">
        <v>600065</v>
      </c>
      <c r="B61" s="8">
        <v>6253500765021</v>
      </c>
      <c r="C61" s="11" t="s">
        <v>18</v>
      </c>
      <c r="D61" s="3" t="s">
        <v>179</v>
      </c>
      <c r="E61" s="3" t="s">
        <v>72</v>
      </c>
      <c r="F61" s="11">
        <v>6</v>
      </c>
      <c r="G61" s="5">
        <v>9.5</v>
      </c>
      <c r="H61" s="17">
        <f t="shared" si="0"/>
        <v>1.3649425287356323</v>
      </c>
      <c r="I61" s="5">
        <f t="shared" si="1"/>
        <v>1.5833333333333333</v>
      </c>
    </row>
    <row r="62" spans="1:9" ht="23.4" customHeight="1" x14ac:dyDescent="0.3">
      <c r="A62" s="11">
        <v>600065</v>
      </c>
      <c r="B62" s="8">
        <v>6253500763256</v>
      </c>
      <c r="C62" s="11" t="s">
        <v>18</v>
      </c>
      <c r="D62" s="3" t="s">
        <v>180</v>
      </c>
      <c r="E62" s="3" t="s">
        <v>73</v>
      </c>
      <c r="F62" s="11">
        <v>4</v>
      </c>
      <c r="G62" s="5">
        <v>8.25</v>
      </c>
      <c r="H62" s="17">
        <f t="shared" si="0"/>
        <v>1.7780172413793105</v>
      </c>
      <c r="I62" s="5">
        <f t="shared" ref="I62:I100" si="2">G62/F62</f>
        <v>2.0625</v>
      </c>
    </row>
    <row r="63" spans="1:9" ht="23.4" customHeight="1" x14ac:dyDescent="0.3">
      <c r="A63" s="11">
        <v>600073</v>
      </c>
      <c r="B63" s="8">
        <v>6253500763270</v>
      </c>
      <c r="C63" s="11" t="s">
        <v>18</v>
      </c>
      <c r="D63" s="3" t="s">
        <v>181</v>
      </c>
      <c r="E63" s="3" t="s">
        <v>74</v>
      </c>
      <c r="F63" s="11">
        <v>4</v>
      </c>
      <c r="G63" s="5">
        <v>8.25</v>
      </c>
      <c r="H63" s="17">
        <f t="shared" si="0"/>
        <v>1.7780172413793105</v>
      </c>
      <c r="I63" s="5">
        <f t="shared" si="2"/>
        <v>2.0625</v>
      </c>
    </row>
    <row r="64" spans="1:9" ht="23.4" customHeight="1" x14ac:dyDescent="0.3">
      <c r="A64" s="11">
        <v>600064</v>
      </c>
      <c r="B64" s="8">
        <v>6253500763249</v>
      </c>
      <c r="C64" s="11" t="s">
        <v>18</v>
      </c>
      <c r="D64" s="3" t="s">
        <v>181</v>
      </c>
      <c r="E64" s="3" t="s">
        <v>75</v>
      </c>
      <c r="F64" s="11">
        <v>4</v>
      </c>
      <c r="G64" s="5">
        <v>8.25</v>
      </c>
      <c r="H64" s="17">
        <f t="shared" si="0"/>
        <v>1.7780172413793105</v>
      </c>
      <c r="I64" s="5">
        <f t="shared" si="2"/>
        <v>2.0625</v>
      </c>
    </row>
    <row r="65" spans="1:9" ht="23.4" customHeight="1" x14ac:dyDescent="0.3">
      <c r="A65" s="11">
        <v>600069</v>
      </c>
      <c r="B65" s="8">
        <v>6253500763300</v>
      </c>
      <c r="C65" s="11" t="s">
        <v>18</v>
      </c>
      <c r="D65" s="3" t="s">
        <v>182</v>
      </c>
      <c r="E65" s="3" t="s">
        <v>76</v>
      </c>
      <c r="F65" s="11">
        <v>4</v>
      </c>
      <c r="G65" s="5">
        <v>8.25</v>
      </c>
      <c r="H65" s="17">
        <f t="shared" si="0"/>
        <v>1.7780172413793105</v>
      </c>
      <c r="I65" s="5">
        <f t="shared" si="2"/>
        <v>2.0625</v>
      </c>
    </row>
    <row r="66" spans="1:9" ht="23.4" customHeight="1" x14ac:dyDescent="0.3">
      <c r="A66" s="11">
        <v>600067</v>
      </c>
      <c r="B66" s="8">
        <v>6253500763294</v>
      </c>
      <c r="C66" s="11" t="s">
        <v>18</v>
      </c>
      <c r="D66" s="3" t="s">
        <v>183</v>
      </c>
      <c r="E66" s="3" t="s">
        <v>77</v>
      </c>
      <c r="F66" s="11">
        <v>4</v>
      </c>
      <c r="G66" s="5">
        <v>8.25</v>
      </c>
      <c r="H66" s="17">
        <f t="shared" si="0"/>
        <v>1.7780172413793105</v>
      </c>
      <c r="I66" s="5">
        <f t="shared" si="2"/>
        <v>2.0625</v>
      </c>
    </row>
    <row r="67" spans="1:9" ht="23.4" customHeight="1" x14ac:dyDescent="0.3">
      <c r="A67" s="11">
        <v>600068</v>
      </c>
      <c r="B67" s="8">
        <v>6253500763324</v>
      </c>
      <c r="C67" s="11" t="s">
        <v>18</v>
      </c>
      <c r="D67" s="3" t="s">
        <v>184</v>
      </c>
      <c r="E67" s="3" t="s">
        <v>78</v>
      </c>
      <c r="F67" s="11">
        <v>4</v>
      </c>
      <c r="G67" s="5">
        <v>8.25</v>
      </c>
      <c r="H67" s="17">
        <f t="shared" si="0"/>
        <v>1.7780172413793105</v>
      </c>
      <c r="I67" s="5">
        <f t="shared" si="2"/>
        <v>2.0625</v>
      </c>
    </row>
    <row r="68" spans="1:9" ht="23.4" customHeight="1" x14ac:dyDescent="0.3">
      <c r="A68" s="11">
        <v>600072</v>
      </c>
      <c r="B68" s="8">
        <v>6253500763263</v>
      </c>
      <c r="C68" s="11" t="s">
        <v>18</v>
      </c>
      <c r="D68" s="3" t="s">
        <v>185</v>
      </c>
      <c r="E68" s="3" t="s">
        <v>79</v>
      </c>
      <c r="F68" s="11">
        <v>4</v>
      </c>
      <c r="G68" s="5">
        <v>8.25</v>
      </c>
      <c r="H68" s="17">
        <f t="shared" si="0"/>
        <v>1.7780172413793105</v>
      </c>
      <c r="I68" s="5">
        <f t="shared" si="2"/>
        <v>2.0625</v>
      </c>
    </row>
    <row r="69" spans="1:9" ht="23.4" customHeight="1" x14ac:dyDescent="0.3">
      <c r="A69" s="11">
        <v>600070</v>
      </c>
      <c r="B69" s="8">
        <v>6253500763317</v>
      </c>
      <c r="C69" s="11" t="s">
        <v>18</v>
      </c>
      <c r="D69" s="3" t="s">
        <v>186</v>
      </c>
      <c r="E69" s="3" t="s">
        <v>80</v>
      </c>
      <c r="F69" s="11">
        <v>4</v>
      </c>
      <c r="G69" s="5">
        <v>8.25</v>
      </c>
      <c r="H69" s="17">
        <f t="shared" si="0"/>
        <v>1.7780172413793105</v>
      </c>
      <c r="I69" s="5">
        <f t="shared" si="2"/>
        <v>2.0625</v>
      </c>
    </row>
    <row r="70" spans="1:9" ht="23.4" customHeight="1" x14ac:dyDescent="0.3">
      <c r="A70" s="11">
        <v>600071</v>
      </c>
      <c r="B70" s="8">
        <v>6253500763331</v>
      </c>
      <c r="C70" s="11" t="s">
        <v>18</v>
      </c>
      <c r="D70" s="3" t="s">
        <v>187</v>
      </c>
      <c r="E70" s="3" t="s">
        <v>81</v>
      </c>
      <c r="F70" s="11">
        <v>4</v>
      </c>
      <c r="G70" s="5">
        <v>8.25</v>
      </c>
      <c r="H70" s="17">
        <f t="shared" si="0"/>
        <v>1.7780172413793105</v>
      </c>
      <c r="I70" s="5">
        <f t="shared" si="2"/>
        <v>2.0625</v>
      </c>
    </row>
    <row r="71" spans="1:9" ht="23.4" customHeight="1" x14ac:dyDescent="0.3">
      <c r="A71" s="11">
        <v>600066</v>
      </c>
      <c r="B71" s="8">
        <v>6253500763287</v>
      </c>
      <c r="C71" s="11" t="s">
        <v>18</v>
      </c>
      <c r="D71" s="3" t="s">
        <v>188</v>
      </c>
      <c r="E71" s="3" t="s">
        <v>82</v>
      </c>
      <c r="F71" s="11">
        <v>4</v>
      </c>
      <c r="G71" s="5">
        <v>8.25</v>
      </c>
      <c r="H71" s="17">
        <f t="shared" si="0"/>
        <v>1.7780172413793105</v>
      </c>
      <c r="I71" s="5">
        <f t="shared" si="2"/>
        <v>2.0625</v>
      </c>
    </row>
    <row r="72" spans="1:9" ht="23.4" customHeight="1" x14ac:dyDescent="0.3">
      <c r="A72" s="11">
        <v>400001</v>
      </c>
      <c r="B72" s="8">
        <v>6253500760361</v>
      </c>
      <c r="C72" s="11" t="s">
        <v>20</v>
      </c>
      <c r="D72" s="3" t="s">
        <v>189</v>
      </c>
      <c r="E72" s="3" t="s">
        <v>96</v>
      </c>
      <c r="F72" s="11">
        <v>12</v>
      </c>
      <c r="G72" s="5">
        <v>8.5</v>
      </c>
      <c r="H72" s="17">
        <f t="shared" ref="H72:H100" si="3">I72/116%</f>
        <v>0.61063218390804608</v>
      </c>
      <c r="I72" s="5">
        <f t="shared" si="2"/>
        <v>0.70833333333333337</v>
      </c>
    </row>
    <row r="73" spans="1:9" ht="23.4" customHeight="1" x14ac:dyDescent="0.3">
      <c r="A73" s="11">
        <v>400002</v>
      </c>
      <c r="B73" s="8">
        <v>6253500760279</v>
      </c>
      <c r="C73" s="11" t="s">
        <v>20</v>
      </c>
      <c r="D73" s="3" t="s">
        <v>190</v>
      </c>
      <c r="E73" s="3" t="s">
        <v>97</v>
      </c>
      <c r="F73" s="11">
        <v>12</v>
      </c>
      <c r="G73" s="5">
        <v>8.5</v>
      </c>
      <c r="H73" s="17">
        <f t="shared" si="3"/>
        <v>0.61063218390804608</v>
      </c>
      <c r="I73" s="5">
        <f t="shared" si="2"/>
        <v>0.70833333333333337</v>
      </c>
    </row>
    <row r="74" spans="1:9" ht="23.4" customHeight="1" x14ac:dyDescent="0.3">
      <c r="A74" s="11">
        <v>600060</v>
      </c>
      <c r="B74" s="8">
        <v>6253500761320</v>
      </c>
      <c r="C74" s="11" t="s">
        <v>19</v>
      </c>
      <c r="D74" s="3" t="s">
        <v>191</v>
      </c>
      <c r="E74" s="3" t="s">
        <v>83</v>
      </c>
      <c r="F74" s="11">
        <v>12</v>
      </c>
      <c r="G74" s="5">
        <v>9.25</v>
      </c>
      <c r="H74" s="17">
        <f t="shared" si="3"/>
        <v>0.66451149425287359</v>
      </c>
      <c r="I74" s="5">
        <f t="shared" si="2"/>
        <v>0.77083333333333337</v>
      </c>
    </row>
    <row r="75" spans="1:9" ht="23.4" customHeight="1" x14ac:dyDescent="0.3">
      <c r="A75" s="11">
        <v>600059</v>
      </c>
      <c r="B75" s="8">
        <v>6253500763010</v>
      </c>
      <c r="C75" s="11" t="s">
        <v>19</v>
      </c>
      <c r="D75" s="3" t="s">
        <v>192</v>
      </c>
      <c r="E75" s="3" t="s">
        <v>84</v>
      </c>
      <c r="F75" s="11">
        <v>12</v>
      </c>
      <c r="G75" s="5">
        <v>9.25</v>
      </c>
      <c r="H75" s="17">
        <f t="shared" si="3"/>
        <v>0.66451149425287359</v>
      </c>
      <c r="I75" s="5">
        <f t="shared" si="2"/>
        <v>0.77083333333333337</v>
      </c>
    </row>
    <row r="76" spans="1:9" ht="23.4" customHeight="1" x14ac:dyDescent="0.3">
      <c r="A76" s="11">
        <v>600057</v>
      </c>
      <c r="B76" s="8">
        <v>6253500761306</v>
      </c>
      <c r="C76" s="11" t="s">
        <v>19</v>
      </c>
      <c r="D76" s="3" t="s">
        <v>193</v>
      </c>
      <c r="E76" s="3" t="s">
        <v>85</v>
      </c>
      <c r="F76" s="11">
        <v>12</v>
      </c>
      <c r="G76" s="5">
        <v>9.25</v>
      </c>
      <c r="H76" s="17">
        <f t="shared" si="3"/>
        <v>0.66451149425287359</v>
      </c>
      <c r="I76" s="5">
        <f t="shared" si="2"/>
        <v>0.77083333333333337</v>
      </c>
    </row>
    <row r="77" spans="1:9" ht="23.4" customHeight="1" x14ac:dyDescent="0.3">
      <c r="A77" s="11">
        <v>600015</v>
      </c>
      <c r="B77" s="8">
        <v>6253500760910</v>
      </c>
      <c r="C77" s="11" t="s">
        <v>19</v>
      </c>
      <c r="D77" s="3" t="s">
        <v>194</v>
      </c>
      <c r="E77" s="3" t="s">
        <v>86</v>
      </c>
      <c r="F77" s="11">
        <v>12</v>
      </c>
      <c r="G77" s="5">
        <v>9.25</v>
      </c>
      <c r="H77" s="17">
        <f t="shared" si="3"/>
        <v>0.66451149425287359</v>
      </c>
      <c r="I77" s="5">
        <f t="shared" si="2"/>
        <v>0.77083333333333337</v>
      </c>
    </row>
    <row r="78" spans="1:9" ht="23.4" customHeight="1" x14ac:dyDescent="0.3">
      <c r="A78" s="11">
        <v>600014</v>
      </c>
      <c r="B78" s="8">
        <v>6253500760903</v>
      </c>
      <c r="C78" s="11" t="s">
        <v>19</v>
      </c>
      <c r="D78" s="3" t="s">
        <v>195</v>
      </c>
      <c r="E78" s="3" t="s">
        <v>87</v>
      </c>
      <c r="F78" s="11">
        <v>12</v>
      </c>
      <c r="G78" s="5">
        <v>9.25</v>
      </c>
      <c r="H78" s="17">
        <f t="shared" si="3"/>
        <v>0.66451149425287359</v>
      </c>
      <c r="I78" s="5">
        <f t="shared" si="2"/>
        <v>0.77083333333333337</v>
      </c>
    </row>
    <row r="79" spans="1:9" ht="23.4" customHeight="1" x14ac:dyDescent="0.3">
      <c r="A79" s="11">
        <v>600058</v>
      </c>
      <c r="B79" s="8">
        <v>6253500761337</v>
      </c>
      <c r="C79" s="11" t="s">
        <v>19</v>
      </c>
      <c r="D79" s="3" t="s">
        <v>196</v>
      </c>
      <c r="E79" s="3" t="s">
        <v>88</v>
      </c>
      <c r="F79" s="11">
        <v>12</v>
      </c>
      <c r="G79" s="5">
        <v>9.25</v>
      </c>
      <c r="H79" s="17">
        <f t="shared" si="3"/>
        <v>0.66451149425287359</v>
      </c>
      <c r="I79" s="5">
        <f t="shared" si="2"/>
        <v>0.77083333333333337</v>
      </c>
    </row>
    <row r="80" spans="1:9" ht="23.4" customHeight="1" x14ac:dyDescent="0.3">
      <c r="A80" s="11">
        <v>600061</v>
      </c>
      <c r="B80" s="8">
        <v>6253011995474</v>
      </c>
      <c r="C80" s="11" t="s">
        <v>19</v>
      </c>
      <c r="D80" s="3" t="s">
        <v>197</v>
      </c>
      <c r="E80" s="3" t="s">
        <v>89</v>
      </c>
      <c r="F80" s="11">
        <v>12</v>
      </c>
      <c r="G80" s="5">
        <v>9.25</v>
      </c>
      <c r="H80" s="17">
        <f t="shared" si="3"/>
        <v>0.66451149425287359</v>
      </c>
      <c r="I80" s="5">
        <f t="shared" si="2"/>
        <v>0.77083333333333337</v>
      </c>
    </row>
    <row r="81" spans="1:9" ht="23.4" customHeight="1" x14ac:dyDescent="0.3">
      <c r="A81" s="11">
        <v>600009</v>
      </c>
      <c r="B81" s="8">
        <v>6253011995436</v>
      </c>
      <c r="C81" s="11" t="s">
        <v>19</v>
      </c>
      <c r="D81" s="3" t="s">
        <v>198</v>
      </c>
      <c r="E81" s="3" t="s">
        <v>90</v>
      </c>
      <c r="F81" s="11">
        <v>12</v>
      </c>
      <c r="G81" s="5">
        <v>9.25</v>
      </c>
      <c r="H81" s="17">
        <f t="shared" si="3"/>
        <v>0.66451149425287359</v>
      </c>
      <c r="I81" s="5">
        <f t="shared" si="2"/>
        <v>0.77083333333333337</v>
      </c>
    </row>
    <row r="82" spans="1:9" ht="23.4" customHeight="1" x14ac:dyDescent="0.3">
      <c r="A82" s="11">
        <v>600056</v>
      </c>
      <c r="B82" s="8">
        <v>6253011995450</v>
      </c>
      <c r="C82" s="11" t="s">
        <v>19</v>
      </c>
      <c r="D82" s="3" t="s">
        <v>199</v>
      </c>
      <c r="E82" s="3" t="s">
        <v>91</v>
      </c>
      <c r="F82" s="11">
        <v>12</v>
      </c>
      <c r="G82" s="5">
        <v>9.25</v>
      </c>
      <c r="H82" s="17">
        <f t="shared" si="3"/>
        <v>0.66451149425287359</v>
      </c>
      <c r="I82" s="5">
        <f t="shared" si="2"/>
        <v>0.77083333333333337</v>
      </c>
    </row>
    <row r="83" spans="1:9" ht="23.4" customHeight="1" x14ac:dyDescent="0.3">
      <c r="A83" s="14">
        <v>600011</v>
      </c>
      <c r="B83" s="8">
        <v>6253011995467</v>
      </c>
      <c r="C83" s="11" t="s">
        <v>19</v>
      </c>
      <c r="D83" s="3" t="s">
        <v>200</v>
      </c>
      <c r="E83" s="3" t="s">
        <v>92</v>
      </c>
      <c r="F83" s="11">
        <v>12</v>
      </c>
      <c r="G83" s="5">
        <v>9.25</v>
      </c>
      <c r="H83" s="17">
        <f t="shared" si="3"/>
        <v>0.66451149425287359</v>
      </c>
      <c r="I83" s="5">
        <f t="shared" si="2"/>
        <v>0.77083333333333337</v>
      </c>
    </row>
    <row r="84" spans="1:9" ht="23.4" customHeight="1" x14ac:dyDescent="0.3">
      <c r="A84" s="11">
        <v>600092</v>
      </c>
      <c r="B84" s="8">
        <v>6253500763683</v>
      </c>
      <c r="C84" s="11" t="s">
        <v>19</v>
      </c>
      <c r="D84" s="3" t="s">
        <v>201</v>
      </c>
      <c r="E84" s="3" t="s">
        <v>93</v>
      </c>
      <c r="F84" s="11">
        <v>12</v>
      </c>
      <c r="G84" s="5">
        <v>9.25</v>
      </c>
      <c r="H84" s="17">
        <f t="shared" si="3"/>
        <v>0.66451149425287359</v>
      </c>
      <c r="I84" s="5">
        <f t="shared" si="2"/>
        <v>0.77083333333333337</v>
      </c>
    </row>
    <row r="85" spans="1:9" ht="23.4" customHeight="1" x14ac:dyDescent="0.3">
      <c r="A85" s="11">
        <v>600089</v>
      </c>
      <c r="B85" s="8">
        <v>6253500763454</v>
      </c>
      <c r="C85" s="11" t="s">
        <v>19</v>
      </c>
      <c r="D85" s="3" t="s">
        <v>202</v>
      </c>
      <c r="E85" s="3" t="s">
        <v>94</v>
      </c>
      <c r="F85" s="11">
        <v>12</v>
      </c>
      <c r="G85" s="5">
        <v>9.25</v>
      </c>
      <c r="H85" s="17">
        <f t="shared" si="3"/>
        <v>0.66451149425287359</v>
      </c>
      <c r="I85" s="5">
        <f t="shared" si="2"/>
        <v>0.77083333333333337</v>
      </c>
    </row>
    <row r="86" spans="1:9" ht="23.4" customHeight="1" x14ac:dyDescent="0.3">
      <c r="A86" s="11">
        <v>600088</v>
      </c>
      <c r="B86" s="8">
        <v>6253500763652</v>
      </c>
      <c r="C86" s="11" t="s">
        <v>19</v>
      </c>
      <c r="D86" s="3" t="s">
        <v>203</v>
      </c>
      <c r="E86" s="3" t="s">
        <v>95</v>
      </c>
      <c r="F86" s="11">
        <v>12</v>
      </c>
      <c r="G86" s="5">
        <v>9.25</v>
      </c>
      <c r="H86" s="17">
        <f t="shared" si="3"/>
        <v>0.66451149425287359</v>
      </c>
      <c r="I86" s="5">
        <f t="shared" si="2"/>
        <v>0.77083333333333337</v>
      </c>
    </row>
    <row r="87" spans="1:9" ht="23.4" customHeight="1" x14ac:dyDescent="0.3">
      <c r="A87" s="11">
        <v>600037</v>
      </c>
      <c r="B87" s="8">
        <v>6253011995528</v>
      </c>
      <c r="C87" s="11" t="s">
        <v>19</v>
      </c>
      <c r="D87" s="3" t="s">
        <v>204</v>
      </c>
      <c r="E87" s="3" t="s">
        <v>105</v>
      </c>
      <c r="F87" s="11">
        <v>4</v>
      </c>
      <c r="G87" s="5">
        <v>8.9</v>
      </c>
      <c r="H87" s="17">
        <f t="shared" si="3"/>
        <v>1.9181034482758623</v>
      </c>
      <c r="I87" s="5">
        <f>G87/F87</f>
        <v>2.2250000000000001</v>
      </c>
    </row>
    <row r="88" spans="1:9" ht="23.4" customHeight="1" x14ac:dyDescent="0.3">
      <c r="A88" s="11">
        <v>600110</v>
      </c>
      <c r="B88" s="8">
        <v>6253500764383</v>
      </c>
      <c r="C88" s="11" t="s">
        <v>10</v>
      </c>
      <c r="D88" s="3" t="s">
        <v>212</v>
      </c>
      <c r="E88" s="3" t="s">
        <v>51</v>
      </c>
      <c r="F88" s="11">
        <v>4</v>
      </c>
      <c r="G88" s="5">
        <v>12.5</v>
      </c>
      <c r="H88" s="17">
        <f t="shared" si="3"/>
        <v>2.6939655172413794</v>
      </c>
      <c r="I88" s="5">
        <f t="shared" si="2"/>
        <v>3.125</v>
      </c>
    </row>
    <row r="89" spans="1:9" ht="23.4" customHeight="1" x14ac:dyDescent="0.3">
      <c r="A89" s="11">
        <v>600110</v>
      </c>
      <c r="B89" s="8">
        <v>6253500761696</v>
      </c>
      <c r="C89" s="11" t="s">
        <v>10</v>
      </c>
      <c r="D89" s="3" t="s">
        <v>213</v>
      </c>
      <c r="E89" s="3" t="s">
        <v>116</v>
      </c>
      <c r="F89" s="11">
        <v>4</v>
      </c>
      <c r="G89" s="5">
        <v>12.5</v>
      </c>
      <c r="H89" s="17">
        <f t="shared" si="3"/>
        <v>2.6939655172413794</v>
      </c>
      <c r="I89" s="5">
        <f t="shared" si="2"/>
        <v>3.125</v>
      </c>
    </row>
    <row r="90" spans="1:9" ht="23.4" customHeight="1" x14ac:dyDescent="0.3">
      <c r="A90" s="11">
        <v>400024</v>
      </c>
      <c r="B90" s="8">
        <v>6253500670125</v>
      </c>
      <c r="C90" s="11" t="s">
        <v>11</v>
      </c>
      <c r="D90" s="3" t="s">
        <v>206</v>
      </c>
      <c r="E90" s="3" t="s">
        <v>205</v>
      </c>
      <c r="F90" s="11">
        <v>12</v>
      </c>
      <c r="G90" s="5">
        <v>10</v>
      </c>
      <c r="H90" s="17">
        <f t="shared" si="3"/>
        <v>0.71839080459770122</v>
      </c>
      <c r="I90" s="5">
        <f t="shared" si="2"/>
        <v>0.83333333333333337</v>
      </c>
    </row>
    <row r="91" spans="1:9" ht="23.4" customHeight="1" x14ac:dyDescent="0.3">
      <c r="A91" s="11">
        <v>400022</v>
      </c>
      <c r="B91" s="8">
        <v>6253500760408</v>
      </c>
      <c r="C91" s="11" t="s">
        <v>11</v>
      </c>
      <c r="D91" s="3" t="s">
        <v>214</v>
      </c>
      <c r="E91" s="3" t="s">
        <v>107</v>
      </c>
      <c r="F91" s="11">
        <v>12</v>
      </c>
      <c r="G91" s="5">
        <v>15.3</v>
      </c>
      <c r="H91" s="17">
        <f t="shared" si="3"/>
        <v>1.0991379310344829</v>
      </c>
      <c r="I91" s="5">
        <f t="shared" si="2"/>
        <v>1.2750000000000001</v>
      </c>
    </row>
    <row r="92" spans="1:9" ht="23.4" customHeight="1" x14ac:dyDescent="0.3">
      <c r="A92" s="11">
        <v>200028</v>
      </c>
      <c r="B92" s="8">
        <v>6253500760323</v>
      </c>
      <c r="C92" s="11" t="s">
        <v>22</v>
      </c>
      <c r="D92" s="3" t="s">
        <v>215</v>
      </c>
      <c r="E92" s="3" t="s">
        <v>106</v>
      </c>
      <c r="F92" s="11">
        <v>12</v>
      </c>
      <c r="G92" s="5">
        <v>15.3</v>
      </c>
      <c r="H92" s="17">
        <f t="shared" si="3"/>
        <v>1.0991379310344829</v>
      </c>
      <c r="I92" s="5">
        <f>G92/F92</f>
        <v>1.2750000000000001</v>
      </c>
    </row>
    <row r="93" spans="1:9" ht="23.4" customHeight="1" x14ac:dyDescent="0.3">
      <c r="A93" s="11">
        <v>400003</v>
      </c>
      <c r="B93" s="8">
        <v>6253500760378</v>
      </c>
      <c r="C93" s="11" t="s">
        <v>21</v>
      </c>
      <c r="D93" s="3" t="s">
        <v>216</v>
      </c>
      <c r="E93" s="3" t="s">
        <v>211</v>
      </c>
      <c r="F93" s="11">
        <v>12</v>
      </c>
      <c r="G93" s="5">
        <v>15.3</v>
      </c>
      <c r="H93" s="17">
        <f t="shared" si="3"/>
        <v>1.0991379310344829</v>
      </c>
      <c r="I93" s="5">
        <f>G93/F93</f>
        <v>1.2750000000000001</v>
      </c>
    </row>
    <row r="94" spans="1:9" ht="23.4" customHeight="1" x14ac:dyDescent="0.3">
      <c r="A94" s="11">
        <v>400020</v>
      </c>
      <c r="B94" s="8">
        <v>621102391127</v>
      </c>
      <c r="C94" s="11" t="s">
        <v>24</v>
      </c>
      <c r="D94" s="3" t="s">
        <v>217</v>
      </c>
      <c r="E94" s="3" t="s">
        <v>112</v>
      </c>
      <c r="F94" s="11">
        <v>24</v>
      </c>
      <c r="G94" s="5">
        <v>16.8</v>
      </c>
      <c r="H94" s="17">
        <f t="shared" si="3"/>
        <v>0.60344827586206906</v>
      </c>
      <c r="I94" s="5">
        <f t="shared" si="2"/>
        <v>0.70000000000000007</v>
      </c>
    </row>
    <row r="95" spans="1:9" ht="23.4" customHeight="1" x14ac:dyDescent="0.3">
      <c r="A95" s="15">
        <v>600034</v>
      </c>
      <c r="B95" s="8">
        <v>6253500761412</v>
      </c>
      <c r="C95" s="11" t="s">
        <v>24</v>
      </c>
      <c r="D95" s="3" t="s">
        <v>218</v>
      </c>
      <c r="E95" s="3" t="s">
        <v>251</v>
      </c>
      <c r="F95" s="11">
        <v>8</v>
      </c>
      <c r="G95" s="5">
        <v>15.5</v>
      </c>
      <c r="H95" s="17">
        <f t="shared" si="3"/>
        <v>1.6702586206896552</v>
      </c>
      <c r="I95" s="5">
        <f t="shared" si="2"/>
        <v>1.9375</v>
      </c>
    </row>
    <row r="96" spans="1:9" ht="23.4" customHeight="1" x14ac:dyDescent="0.3">
      <c r="A96" s="15">
        <v>600129</v>
      </c>
      <c r="B96" s="8">
        <v>6211023913527</v>
      </c>
      <c r="C96" s="11" t="s">
        <v>24</v>
      </c>
      <c r="D96" s="3" t="s">
        <v>219</v>
      </c>
      <c r="E96" s="3" t="s">
        <v>117</v>
      </c>
      <c r="F96" s="11">
        <v>4</v>
      </c>
      <c r="G96" s="5">
        <v>13.5</v>
      </c>
      <c r="H96" s="17">
        <f t="shared" si="3"/>
        <v>2.9094827586206899</v>
      </c>
      <c r="I96" s="5">
        <f t="shared" si="2"/>
        <v>3.375</v>
      </c>
    </row>
    <row r="97" spans="1:9" ht="23.4" customHeight="1" x14ac:dyDescent="0.3">
      <c r="A97" s="15">
        <v>600136</v>
      </c>
      <c r="B97" s="8">
        <v>6253500765533</v>
      </c>
      <c r="C97" s="11" t="s">
        <v>24</v>
      </c>
      <c r="D97" s="3" t="s">
        <v>220</v>
      </c>
      <c r="E97" s="3" t="s">
        <v>118</v>
      </c>
      <c r="F97" s="11">
        <v>1</v>
      </c>
      <c r="G97" s="5">
        <v>6.25</v>
      </c>
      <c r="H97" s="17">
        <f t="shared" si="3"/>
        <v>5.3879310344827589</v>
      </c>
      <c r="I97" s="5">
        <f t="shared" si="2"/>
        <v>6.25</v>
      </c>
    </row>
    <row r="98" spans="1:9" ht="23.4" customHeight="1" x14ac:dyDescent="0.3">
      <c r="A98" s="11">
        <v>600127</v>
      </c>
      <c r="B98" s="8">
        <v>6253500765175</v>
      </c>
      <c r="C98" s="11" t="s">
        <v>24</v>
      </c>
      <c r="D98" s="3" t="s">
        <v>221</v>
      </c>
      <c r="E98" s="3" t="s">
        <v>99</v>
      </c>
      <c r="F98" s="11">
        <v>1</v>
      </c>
      <c r="G98" s="5">
        <v>10.75</v>
      </c>
      <c r="H98" s="17">
        <f t="shared" si="3"/>
        <v>9.2672413793103452</v>
      </c>
      <c r="I98" s="5">
        <f t="shared" si="2"/>
        <v>10.75</v>
      </c>
    </row>
    <row r="99" spans="1:9" ht="23.4" customHeight="1" x14ac:dyDescent="0.3">
      <c r="A99" s="11">
        <v>200027</v>
      </c>
      <c r="B99" s="8">
        <v>6253500765519</v>
      </c>
      <c r="C99" s="11" t="s">
        <v>25</v>
      </c>
      <c r="D99" s="3" t="s">
        <v>161</v>
      </c>
      <c r="E99" s="3" t="s">
        <v>100</v>
      </c>
      <c r="F99" s="11">
        <v>12</v>
      </c>
      <c r="G99" s="5">
        <v>15.25</v>
      </c>
      <c r="H99" s="17">
        <f t="shared" si="3"/>
        <v>1.0955459770114944</v>
      </c>
      <c r="I99" s="5">
        <f t="shared" si="2"/>
        <v>1.2708333333333333</v>
      </c>
    </row>
    <row r="100" spans="1:9" ht="23.4" customHeight="1" x14ac:dyDescent="0.3">
      <c r="A100" s="11">
        <v>200028</v>
      </c>
      <c r="B100" s="8">
        <v>6253500765526</v>
      </c>
      <c r="C100" s="11" t="s">
        <v>25</v>
      </c>
      <c r="D100" s="3" t="s">
        <v>160</v>
      </c>
      <c r="E100" s="3" t="s">
        <v>101</v>
      </c>
      <c r="F100" s="11">
        <v>12</v>
      </c>
      <c r="G100" s="5">
        <v>15.25</v>
      </c>
      <c r="H100" s="17">
        <f t="shared" si="3"/>
        <v>1.0955459770114944</v>
      </c>
      <c r="I100" s="5">
        <f t="shared" si="2"/>
        <v>1.2708333333333333</v>
      </c>
    </row>
  </sheetData>
  <pageMargins left="0" right="0.7" top="0" bottom="0.75" header="0.3" footer="0.3"/>
  <pageSetup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39DA-3D03-4485-ABAB-F4A05B0DF2AE}">
  <dimension ref="A1:E11"/>
  <sheetViews>
    <sheetView zoomScale="85" zoomScaleNormal="85" workbookViewId="0">
      <selection sqref="A1:E3"/>
    </sheetView>
  </sheetViews>
  <sheetFormatPr defaultRowHeight="14.4" x14ac:dyDescent="0.3"/>
  <cols>
    <col min="1" max="1" width="40.21875" customWidth="1"/>
    <col min="2" max="2" width="7.88671875" style="12" customWidth="1"/>
    <col min="3" max="3" width="9.109375" style="12" customWidth="1"/>
    <col min="4" max="4" width="8.88671875" style="6"/>
    <col min="5" max="5" width="12.44140625" bestFit="1" customWidth="1"/>
    <col min="6" max="6" width="10.109375" customWidth="1"/>
  </cols>
  <sheetData>
    <row r="1" spans="1:5" ht="26.4" customHeight="1" x14ac:dyDescent="0.3">
      <c r="A1" s="29" t="s">
        <v>244</v>
      </c>
      <c r="B1" s="29"/>
      <c r="C1" s="29"/>
      <c r="D1" s="29"/>
      <c r="E1" s="29"/>
    </row>
    <row r="2" spans="1:5" ht="40.200000000000003" customHeight="1" x14ac:dyDescent="0.3">
      <c r="A2" s="26" t="s">
        <v>250</v>
      </c>
      <c r="B2" s="27"/>
      <c r="C2" s="27"/>
      <c r="D2" s="28"/>
      <c r="E2" s="24" t="s">
        <v>246</v>
      </c>
    </row>
    <row r="3" spans="1:5" ht="36.6" customHeight="1" x14ac:dyDescent="0.3">
      <c r="A3" s="25" t="s">
        <v>245</v>
      </c>
      <c r="B3" s="25"/>
      <c r="C3" s="25"/>
      <c r="D3" s="25"/>
      <c r="E3" s="24" t="s">
        <v>247</v>
      </c>
    </row>
    <row r="4" spans="1:5" ht="43.8" customHeight="1" x14ac:dyDescent="0.3">
      <c r="A4" s="18" t="s">
        <v>238</v>
      </c>
      <c r="B4" s="18" t="s">
        <v>239</v>
      </c>
      <c r="C4" s="18" t="s">
        <v>240</v>
      </c>
      <c r="D4" s="20" t="s">
        <v>241</v>
      </c>
      <c r="E4" s="22" t="s">
        <v>242</v>
      </c>
    </row>
    <row r="5" spans="1:5" ht="43.8" customHeight="1" x14ac:dyDescent="0.3">
      <c r="A5" s="3" t="s">
        <v>32</v>
      </c>
      <c r="B5" s="11">
        <v>4</v>
      </c>
      <c r="C5" s="11">
        <v>150</v>
      </c>
      <c r="D5" s="5">
        <v>8.1999999999999993</v>
      </c>
      <c r="E5" s="23">
        <f>D5*C5</f>
        <v>1230</v>
      </c>
    </row>
    <row r="6" spans="1:5" ht="43.8" customHeight="1" x14ac:dyDescent="0.3">
      <c r="A6" s="3" t="s">
        <v>236</v>
      </c>
      <c r="B6" s="11">
        <v>4</v>
      </c>
      <c r="C6" s="11">
        <v>150</v>
      </c>
      <c r="D6" s="5">
        <v>12.3</v>
      </c>
      <c r="E6" s="23">
        <f t="shared" ref="E6:E10" si="0">D6*C6</f>
        <v>1845</v>
      </c>
    </row>
    <row r="7" spans="1:5" ht="43.8" customHeight="1" x14ac:dyDescent="0.3">
      <c r="A7" s="3" t="s">
        <v>114</v>
      </c>
      <c r="B7" s="11">
        <v>6</v>
      </c>
      <c r="C7" s="11">
        <v>150</v>
      </c>
      <c r="D7" s="5">
        <v>8.5</v>
      </c>
      <c r="E7" s="23">
        <f t="shared" si="0"/>
        <v>1275</v>
      </c>
    </row>
    <row r="8" spans="1:5" ht="43.8" customHeight="1" x14ac:dyDescent="0.3">
      <c r="A8" s="3" t="s">
        <v>105</v>
      </c>
      <c r="B8" s="11">
        <v>4</v>
      </c>
      <c r="C8" s="11">
        <v>150</v>
      </c>
      <c r="D8" s="5">
        <v>7</v>
      </c>
      <c r="E8" s="23">
        <f t="shared" si="0"/>
        <v>1050</v>
      </c>
    </row>
    <row r="9" spans="1:5" ht="43.8" customHeight="1" x14ac:dyDescent="0.3">
      <c r="A9" s="3" t="s">
        <v>96</v>
      </c>
      <c r="B9" s="11">
        <v>12</v>
      </c>
      <c r="C9" s="11">
        <v>150</v>
      </c>
      <c r="D9" s="5">
        <v>7.5</v>
      </c>
      <c r="E9" s="23">
        <f t="shared" si="0"/>
        <v>1125</v>
      </c>
    </row>
    <row r="10" spans="1:5" ht="43.8" customHeight="1" x14ac:dyDescent="0.3">
      <c r="A10" s="3" t="s">
        <v>243</v>
      </c>
      <c r="B10" s="11">
        <v>4</v>
      </c>
      <c r="C10" s="11">
        <v>150</v>
      </c>
      <c r="D10" s="5">
        <v>7.1</v>
      </c>
      <c r="E10" s="23">
        <f t="shared" si="0"/>
        <v>1065</v>
      </c>
    </row>
    <row r="11" spans="1:5" ht="27.6" customHeight="1" x14ac:dyDescent="0.3">
      <c r="A11" s="3" t="s">
        <v>248</v>
      </c>
      <c r="B11" s="11"/>
      <c r="C11" s="11"/>
      <c r="D11" s="8" t="s">
        <v>249</v>
      </c>
      <c r="E11" s="23"/>
    </row>
  </sheetData>
  <mergeCells count="3">
    <mergeCell ref="A3:D3"/>
    <mergeCell ref="A2:D2"/>
    <mergeCell ref="A1:E1"/>
  </mergeCells>
  <pageMargins left="0" right="0.75" top="0" bottom="0" header="0.75" footer="0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4BB1-C25A-447B-AAFA-3C1C29EEF215}">
  <dimension ref="A1:M101"/>
  <sheetViews>
    <sheetView zoomScale="85" zoomScaleNormal="85" workbookViewId="0">
      <selection activeCell="R9" sqref="R8:R9"/>
    </sheetView>
  </sheetViews>
  <sheetFormatPr defaultRowHeight="14.4" x14ac:dyDescent="0.3"/>
  <cols>
    <col min="1" max="1" width="11.33203125" style="12" customWidth="1"/>
    <col min="2" max="2" width="17.21875" style="9" customWidth="1"/>
    <col min="3" max="3" width="40.21875" customWidth="1"/>
    <col min="4" max="4" width="7.88671875" style="12" customWidth="1"/>
    <col min="5" max="5" width="8.88671875" style="6"/>
    <col min="6" max="6" width="9.77734375" style="6" customWidth="1"/>
    <col min="7" max="7" width="8.88671875" style="12" customWidth="1"/>
    <col min="8" max="8" width="8.88671875" style="12"/>
    <col min="9" max="9" width="9.21875" customWidth="1"/>
    <col min="10" max="10" width="10" customWidth="1"/>
    <col min="11" max="11" width="0.109375" customWidth="1"/>
    <col min="12" max="12" width="25.33203125" customWidth="1"/>
    <col min="13" max="13" width="3.77734375" hidden="1" customWidth="1"/>
    <col min="14" max="14" width="13.33203125" customWidth="1"/>
    <col min="16" max="16" width="10.109375" customWidth="1"/>
  </cols>
  <sheetData>
    <row r="1" spans="1:13" ht="50.4" customHeight="1" x14ac:dyDescent="0.3">
      <c r="A1" s="34"/>
      <c r="B1" s="35"/>
      <c r="C1" s="21" t="s">
        <v>226</v>
      </c>
      <c r="D1" s="31"/>
      <c r="E1" s="32"/>
      <c r="F1" s="32"/>
      <c r="G1" s="32"/>
      <c r="H1" s="32"/>
      <c r="I1" s="33"/>
      <c r="J1" s="21" t="s">
        <v>225</v>
      </c>
      <c r="K1" s="34"/>
      <c r="L1" s="36"/>
      <c r="M1" s="35"/>
    </row>
    <row r="2" spans="1:13" ht="29.4" customHeight="1" x14ac:dyDescent="0.3">
      <c r="A2" s="18" t="s">
        <v>0</v>
      </c>
      <c r="B2" s="19" t="s">
        <v>1</v>
      </c>
      <c r="C2" s="18" t="s">
        <v>3</v>
      </c>
      <c r="D2" s="18" t="s">
        <v>4</v>
      </c>
      <c r="E2" s="20" t="s">
        <v>5</v>
      </c>
      <c r="F2" s="20" t="s">
        <v>6</v>
      </c>
      <c r="G2" s="18" t="s">
        <v>7</v>
      </c>
      <c r="H2" s="18" t="s">
        <v>8</v>
      </c>
      <c r="I2" s="18" t="s">
        <v>222</v>
      </c>
      <c r="J2" s="18" t="s">
        <v>223</v>
      </c>
      <c r="K2" s="30" t="s">
        <v>227</v>
      </c>
      <c r="L2" s="30"/>
      <c r="M2" s="30"/>
    </row>
    <row r="3" spans="1:13" ht="23.4" customHeight="1" x14ac:dyDescent="0.3">
      <c r="A3" s="11">
        <v>400021</v>
      </c>
      <c r="B3" s="8">
        <v>6253500765090</v>
      </c>
      <c r="C3" s="3" t="s">
        <v>108</v>
      </c>
      <c r="D3" s="11">
        <v>12</v>
      </c>
      <c r="E3" s="5">
        <v>9.25</v>
      </c>
      <c r="F3" s="5">
        <f>E3/D3</f>
        <v>0.77083333333333337</v>
      </c>
      <c r="G3" s="11" t="s">
        <v>102</v>
      </c>
      <c r="H3" s="11" t="s">
        <v>104</v>
      </c>
      <c r="I3" s="16"/>
      <c r="J3" s="16"/>
      <c r="K3" s="16"/>
      <c r="L3" s="16"/>
      <c r="M3" s="16"/>
    </row>
    <row r="4" spans="1:13" ht="23.4" customHeight="1" x14ac:dyDescent="0.3">
      <c r="A4" s="11">
        <v>400024</v>
      </c>
      <c r="B4" s="8">
        <v>6253500765076</v>
      </c>
      <c r="C4" s="3" t="s">
        <v>109</v>
      </c>
      <c r="D4" s="11">
        <v>12</v>
      </c>
      <c r="E4" s="5">
        <v>9.25</v>
      </c>
      <c r="F4" s="5">
        <f t="shared" ref="F4:F67" si="0">E4/D4</f>
        <v>0.77083333333333337</v>
      </c>
      <c r="G4" s="11" t="s">
        <v>102</v>
      </c>
      <c r="H4" s="11" t="s">
        <v>104</v>
      </c>
      <c r="I4" s="16"/>
      <c r="J4" s="16"/>
      <c r="K4" s="16"/>
      <c r="L4" s="16"/>
      <c r="M4" s="16"/>
    </row>
    <row r="5" spans="1:13" ht="23.4" customHeight="1" x14ac:dyDescent="0.3">
      <c r="A5" s="11">
        <v>400022</v>
      </c>
      <c r="B5" s="8">
        <v>6253500765083</v>
      </c>
      <c r="C5" s="3" t="s">
        <v>110</v>
      </c>
      <c r="D5" s="11">
        <v>12</v>
      </c>
      <c r="E5" s="5">
        <v>9.25</v>
      </c>
      <c r="F5" s="5">
        <f t="shared" si="0"/>
        <v>0.77083333333333337</v>
      </c>
      <c r="G5" s="11" t="s">
        <v>102</v>
      </c>
      <c r="H5" s="11" t="s">
        <v>104</v>
      </c>
      <c r="I5" s="16"/>
      <c r="J5" s="16"/>
      <c r="K5" s="16"/>
      <c r="L5" s="16"/>
      <c r="M5" s="16"/>
    </row>
    <row r="6" spans="1:13" ht="23.4" customHeight="1" x14ac:dyDescent="0.3">
      <c r="A6" s="11">
        <v>400020</v>
      </c>
      <c r="B6" s="8">
        <v>6253500765113</v>
      </c>
      <c r="C6" s="3" t="s">
        <v>111</v>
      </c>
      <c r="D6" s="11">
        <v>12</v>
      </c>
      <c r="E6" s="5">
        <v>9.25</v>
      </c>
      <c r="F6" s="5">
        <f t="shared" si="0"/>
        <v>0.77083333333333337</v>
      </c>
      <c r="G6" s="11" t="s">
        <v>102</v>
      </c>
      <c r="H6" s="11" t="s">
        <v>104</v>
      </c>
      <c r="I6" s="16"/>
      <c r="J6" s="16"/>
      <c r="K6" s="16"/>
      <c r="L6" s="16"/>
      <c r="M6" s="16"/>
    </row>
    <row r="7" spans="1:13" ht="23.4" customHeight="1" x14ac:dyDescent="0.3">
      <c r="A7" s="11">
        <v>200001</v>
      </c>
      <c r="B7" s="8">
        <v>6253500760019</v>
      </c>
      <c r="C7" s="3" t="s">
        <v>26</v>
      </c>
      <c r="D7" s="11">
        <v>18</v>
      </c>
      <c r="E7" s="5">
        <v>13.5</v>
      </c>
      <c r="F7" s="5">
        <f t="shared" si="0"/>
        <v>0.75</v>
      </c>
      <c r="G7" s="11" t="s">
        <v>102</v>
      </c>
      <c r="H7" s="11" t="s">
        <v>104</v>
      </c>
      <c r="I7" s="16"/>
      <c r="J7" s="16"/>
      <c r="K7" s="16"/>
      <c r="L7" s="16"/>
      <c r="M7" s="16"/>
    </row>
    <row r="8" spans="1:13" ht="23.4" customHeight="1" x14ac:dyDescent="0.3">
      <c r="A8" s="11">
        <v>200003</v>
      </c>
      <c r="B8" s="8">
        <v>6253500760200</v>
      </c>
      <c r="C8" s="3" t="s">
        <v>27</v>
      </c>
      <c r="D8" s="11">
        <v>12</v>
      </c>
      <c r="E8" s="5">
        <v>9</v>
      </c>
      <c r="F8" s="5">
        <f t="shared" si="0"/>
        <v>0.75</v>
      </c>
      <c r="G8" s="11" t="s">
        <v>102</v>
      </c>
      <c r="H8" s="11" t="s">
        <v>104</v>
      </c>
      <c r="I8" s="16"/>
      <c r="J8" s="16"/>
      <c r="K8" s="16"/>
      <c r="L8" s="16"/>
      <c r="M8" s="16"/>
    </row>
    <row r="9" spans="1:13" ht="23.4" customHeight="1" x14ac:dyDescent="0.3">
      <c r="A9" s="11">
        <v>200002</v>
      </c>
      <c r="B9" s="8">
        <v>6253500760194</v>
      </c>
      <c r="C9" s="3" t="s">
        <v>28</v>
      </c>
      <c r="D9" s="11">
        <v>12</v>
      </c>
      <c r="E9" s="5">
        <v>9</v>
      </c>
      <c r="F9" s="5">
        <f t="shared" si="0"/>
        <v>0.75</v>
      </c>
      <c r="G9" s="11" t="s">
        <v>102</v>
      </c>
      <c r="H9" s="11" t="s">
        <v>104</v>
      </c>
      <c r="I9" s="16"/>
      <c r="J9" s="16"/>
      <c r="K9" s="16"/>
      <c r="L9" s="16"/>
      <c r="M9" s="16"/>
    </row>
    <row r="10" spans="1:13" ht="23.4" customHeight="1" x14ac:dyDescent="0.3">
      <c r="A10" s="11">
        <v>200004</v>
      </c>
      <c r="B10" s="8">
        <v>6253500760026</v>
      </c>
      <c r="C10" s="3" t="s">
        <v>29</v>
      </c>
      <c r="D10" s="11">
        <v>9</v>
      </c>
      <c r="E10" s="5">
        <v>12</v>
      </c>
      <c r="F10" s="5">
        <f t="shared" si="0"/>
        <v>1.3333333333333333</v>
      </c>
      <c r="G10" s="11" t="s">
        <v>102</v>
      </c>
      <c r="H10" s="11" t="s">
        <v>104</v>
      </c>
      <c r="I10" s="16"/>
      <c r="J10" s="16"/>
      <c r="K10" s="16"/>
      <c r="L10" s="16"/>
      <c r="M10" s="16"/>
    </row>
    <row r="11" spans="1:13" ht="23.4" customHeight="1" x14ac:dyDescent="0.3">
      <c r="A11" s="11">
        <v>200006</v>
      </c>
      <c r="B11" s="8">
        <v>6253500760231</v>
      </c>
      <c r="C11" s="3" t="s">
        <v>30</v>
      </c>
      <c r="D11" s="11">
        <v>9</v>
      </c>
      <c r="E11" s="5">
        <v>12</v>
      </c>
      <c r="F11" s="5">
        <f t="shared" si="0"/>
        <v>1.3333333333333333</v>
      </c>
      <c r="G11" s="11" t="s">
        <v>102</v>
      </c>
      <c r="H11" s="11" t="s">
        <v>104</v>
      </c>
      <c r="I11" s="16"/>
      <c r="J11" s="16"/>
      <c r="K11" s="16"/>
      <c r="L11" s="16"/>
      <c r="M11" s="16"/>
    </row>
    <row r="12" spans="1:13" ht="23.4" customHeight="1" x14ac:dyDescent="0.3">
      <c r="A12" s="11">
        <v>200005</v>
      </c>
      <c r="B12" s="8">
        <v>6253500760255</v>
      </c>
      <c r="C12" s="3" t="s">
        <v>31</v>
      </c>
      <c r="D12" s="11">
        <v>9</v>
      </c>
      <c r="E12" s="5">
        <v>12</v>
      </c>
      <c r="F12" s="5">
        <f t="shared" si="0"/>
        <v>1.3333333333333333</v>
      </c>
      <c r="G12" s="11" t="s">
        <v>102</v>
      </c>
      <c r="H12" s="11" t="s">
        <v>104</v>
      </c>
      <c r="I12" s="16"/>
      <c r="J12" s="16"/>
      <c r="K12" s="16"/>
      <c r="L12" s="16"/>
      <c r="M12" s="16"/>
    </row>
    <row r="13" spans="1:13" ht="23.4" customHeight="1" x14ac:dyDescent="0.3">
      <c r="A13" s="11">
        <v>200007</v>
      </c>
      <c r="B13" s="8">
        <v>6253500760033</v>
      </c>
      <c r="C13" s="3" t="s">
        <v>32</v>
      </c>
      <c r="D13" s="11">
        <v>4</v>
      </c>
      <c r="E13" s="5">
        <v>9.35</v>
      </c>
      <c r="F13" s="5">
        <f t="shared" si="0"/>
        <v>2.3374999999999999</v>
      </c>
      <c r="G13" s="11" t="s">
        <v>102</v>
      </c>
      <c r="H13" s="11" t="s">
        <v>104</v>
      </c>
      <c r="I13" s="16"/>
      <c r="J13" s="16"/>
      <c r="K13" s="16"/>
      <c r="L13" s="16"/>
      <c r="M13" s="16"/>
    </row>
    <row r="14" spans="1:13" ht="23.4" customHeight="1" x14ac:dyDescent="0.3">
      <c r="A14" s="11">
        <v>200009</v>
      </c>
      <c r="B14" s="8">
        <v>6253500760248</v>
      </c>
      <c r="C14" s="3" t="s">
        <v>33</v>
      </c>
      <c r="D14" s="11">
        <v>4</v>
      </c>
      <c r="E14" s="5">
        <v>9.35</v>
      </c>
      <c r="F14" s="5">
        <f t="shared" si="0"/>
        <v>2.3374999999999999</v>
      </c>
      <c r="G14" s="11" t="s">
        <v>102</v>
      </c>
      <c r="H14" s="11" t="s">
        <v>104</v>
      </c>
      <c r="I14" s="16"/>
      <c r="J14" s="16"/>
      <c r="K14" s="16"/>
      <c r="L14" s="16"/>
      <c r="M14" s="16"/>
    </row>
    <row r="15" spans="1:13" ht="23.4" customHeight="1" x14ac:dyDescent="0.3">
      <c r="A15" s="11">
        <v>200008</v>
      </c>
      <c r="B15" s="8">
        <v>6253500760224</v>
      </c>
      <c r="C15" s="3" t="s">
        <v>34</v>
      </c>
      <c r="D15" s="11">
        <v>4</v>
      </c>
      <c r="E15" s="5">
        <v>9.35</v>
      </c>
      <c r="F15" s="5">
        <f t="shared" si="0"/>
        <v>2.3374999999999999</v>
      </c>
      <c r="G15" s="11" t="s">
        <v>102</v>
      </c>
      <c r="H15" s="11" t="s">
        <v>104</v>
      </c>
      <c r="I15" s="16"/>
      <c r="J15" s="16"/>
      <c r="K15" s="16"/>
      <c r="L15" s="16"/>
      <c r="M15" s="16"/>
    </row>
    <row r="16" spans="1:13" ht="23.4" customHeight="1" x14ac:dyDescent="0.3">
      <c r="A16" s="11">
        <v>200018</v>
      </c>
      <c r="B16" s="8">
        <v>6253500760712</v>
      </c>
      <c r="C16" s="3" t="s">
        <v>210</v>
      </c>
      <c r="D16" s="11">
        <v>12</v>
      </c>
      <c r="E16" s="5">
        <v>15.3</v>
      </c>
      <c r="F16" s="5">
        <f t="shared" si="0"/>
        <v>1.2750000000000001</v>
      </c>
      <c r="G16" s="11"/>
      <c r="H16" s="11"/>
      <c r="I16" s="16"/>
      <c r="J16" s="16"/>
      <c r="K16" s="16"/>
      <c r="L16" s="16"/>
      <c r="M16" s="16"/>
    </row>
    <row r="17" spans="1:13" ht="23.4" customHeight="1" x14ac:dyDescent="0.3">
      <c r="A17" s="11">
        <v>200011</v>
      </c>
      <c r="B17" s="8">
        <v>6253500760705</v>
      </c>
      <c r="C17" s="3" t="s">
        <v>209</v>
      </c>
      <c r="D17" s="11">
        <v>12</v>
      </c>
      <c r="E17" s="5">
        <v>15.3</v>
      </c>
      <c r="F17" s="5">
        <f t="shared" si="0"/>
        <v>1.2750000000000001</v>
      </c>
      <c r="G17" s="11"/>
      <c r="H17" s="11"/>
      <c r="I17" s="16"/>
      <c r="J17" s="16"/>
      <c r="K17" s="16"/>
      <c r="L17" s="16"/>
      <c r="M17" s="16"/>
    </row>
    <row r="18" spans="1:13" ht="23.4" customHeight="1" x14ac:dyDescent="0.3">
      <c r="A18" s="11">
        <v>130080</v>
      </c>
      <c r="B18" s="8">
        <v>6253500761399</v>
      </c>
      <c r="C18" s="3" t="s">
        <v>35</v>
      </c>
      <c r="D18" s="11">
        <v>12</v>
      </c>
      <c r="E18" s="5">
        <v>3.65</v>
      </c>
      <c r="F18" s="5">
        <f t="shared" si="0"/>
        <v>0.30416666666666664</v>
      </c>
      <c r="G18" s="11" t="s">
        <v>125</v>
      </c>
      <c r="H18" s="11"/>
      <c r="I18" s="16"/>
      <c r="J18" s="16"/>
      <c r="K18" s="16"/>
      <c r="L18" s="16"/>
      <c r="M18" s="16"/>
    </row>
    <row r="19" spans="1:13" ht="23.4" customHeight="1" x14ac:dyDescent="0.3">
      <c r="A19" s="11">
        <v>130151</v>
      </c>
      <c r="B19" s="8">
        <v>6253500765571</v>
      </c>
      <c r="C19" s="3" t="s">
        <v>235</v>
      </c>
      <c r="D19" s="11">
        <v>12</v>
      </c>
      <c r="E19" s="5">
        <v>3.65</v>
      </c>
      <c r="F19" s="5">
        <f t="shared" si="0"/>
        <v>0.30416666666666664</v>
      </c>
      <c r="G19" s="11" t="s">
        <v>125</v>
      </c>
      <c r="H19" s="11"/>
      <c r="I19" s="16"/>
      <c r="J19" s="16"/>
      <c r="K19" s="16"/>
      <c r="L19" s="16"/>
      <c r="M19" s="16"/>
    </row>
    <row r="20" spans="1:13" ht="23.4" customHeight="1" x14ac:dyDescent="0.3">
      <c r="A20" s="11">
        <v>130150</v>
      </c>
      <c r="B20" s="8">
        <v>6253500765564</v>
      </c>
      <c r="C20" s="3" t="s">
        <v>234</v>
      </c>
      <c r="D20" s="11">
        <v>12</v>
      </c>
      <c r="E20" s="5">
        <v>3.65</v>
      </c>
      <c r="F20" s="5">
        <f t="shared" si="0"/>
        <v>0.30416666666666664</v>
      </c>
      <c r="G20" s="11" t="s">
        <v>125</v>
      </c>
      <c r="H20" s="11"/>
      <c r="I20" s="16"/>
      <c r="J20" s="16"/>
      <c r="K20" s="16"/>
      <c r="L20" s="16"/>
      <c r="M20" s="16"/>
    </row>
    <row r="21" spans="1:13" ht="23.4" customHeight="1" x14ac:dyDescent="0.3">
      <c r="A21" s="11">
        <v>130082</v>
      </c>
      <c r="B21" s="8">
        <v>6253500763041</v>
      </c>
      <c r="C21" s="3" t="s">
        <v>36</v>
      </c>
      <c r="D21" s="11">
        <v>4</v>
      </c>
      <c r="E21" s="5">
        <v>5</v>
      </c>
      <c r="F21" s="5">
        <f t="shared" si="0"/>
        <v>1.25</v>
      </c>
      <c r="G21" s="11" t="s">
        <v>121</v>
      </c>
      <c r="H21" s="11" t="s">
        <v>120</v>
      </c>
      <c r="I21" s="16"/>
      <c r="J21" s="16"/>
      <c r="K21" s="16"/>
      <c r="L21" s="16"/>
      <c r="M21" s="16"/>
    </row>
    <row r="22" spans="1:13" ht="23.4" customHeight="1" x14ac:dyDescent="0.3">
      <c r="A22" s="11">
        <v>130155</v>
      </c>
      <c r="B22" s="8">
        <v>6253500765540</v>
      </c>
      <c r="C22" s="3" t="s">
        <v>230</v>
      </c>
      <c r="D22" s="11">
        <v>4</v>
      </c>
      <c r="E22" s="5">
        <v>5</v>
      </c>
      <c r="F22" s="5">
        <f t="shared" si="0"/>
        <v>1.25</v>
      </c>
      <c r="G22" s="11" t="s">
        <v>121</v>
      </c>
      <c r="H22" s="11" t="s">
        <v>120</v>
      </c>
      <c r="I22" s="16"/>
      <c r="J22" s="16"/>
      <c r="K22" s="16"/>
      <c r="L22" s="16"/>
      <c r="M22" s="16"/>
    </row>
    <row r="23" spans="1:13" ht="23.4" customHeight="1" x14ac:dyDescent="0.3">
      <c r="A23" s="11">
        <v>130154</v>
      </c>
      <c r="B23" s="8">
        <v>6253500765557</v>
      </c>
      <c r="C23" s="3" t="s">
        <v>233</v>
      </c>
      <c r="D23" s="11">
        <v>4</v>
      </c>
      <c r="E23" s="5">
        <v>5</v>
      </c>
      <c r="F23" s="5">
        <f t="shared" si="0"/>
        <v>1.25</v>
      </c>
      <c r="G23" s="11" t="s">
        <v>121</v>
      </c>
      <c r="H23" s="11" t="s">
        <v>120</v>
      </c>
      <c r="I23" s="16"/>
      <c r="J23" s="16"/>
      <c r="K23" s="16"/>
      <c r="L23" s="16"/>
      <c r="M23" s="16"/>
    </row>
    <row r="24" spans="1:13" ht="23.4" customHeight="1" x14ac:dyDescent="0.3">
      <c r="A24" s="11">
        <v>500003</v>
      </c>
      <c r="B24" s="8">
        <v>6253500760095</v>
      </c>
      <c r="C24" s="3" t="s">
        <v>49</v>
      </c>
      <c r="D24" s="11">
        <v>12</v>
      </c>
      <c r="E24" s="5">
        <v>12.75</v>
      </c>
      <c r="F24" s="5">
        <f t="shared" si="0"/>
        <v>1.0625</v>
      </c>
      <c r="G24" s="11"/>
      <c r="H24" s="11"/>
      <c r="I24" s="16"/>
      <c r="J24" s="16"/>
      <c r="K24" s="16"/>
      <c r="L24" s="16"/>
      <c r="M24" s="16"/>
    </row>
    <row r="25" spans="1:13" ht="23.4" customHeight="1" x14ac:dyDescent="0.3">
      <c r="A25" s="11">
        <v>300002</v>
      </c>
      <c r="B25" s="8">
        <v>6253500760064</v>
      </c>
      <c r="C25" s="3" t="s">
        <v>37</v>
      </c>
      <c r="D25" s="11">
        <v>12</v>
      </c>
      <c r="E25" s="5">
        <v>11</v>
      </c>
      <c r="F25" s="5">
        <f t="shared" si="0"/>
        <v>0.91666666666666663</v>
      </c>
      <c r="G25" s="11" t="s">
        <v>102</v>
      </c>
      <c r="H25" s="11" t="s">
        <v>104</v>
      </c>
      <c r="I25" s="16"/>
      <c r="J25" s="16"/>
      <c r="K25" s="16"/>
      <c r="L25" s="16"/>
      <c r="M25" s="16"/>
    </row>
    <row r="26" spans="1:13" ht="23.4" customHeight="1" x14ac:dyDescent="0.3">
      <c r="A26" s="11">
        <v>300005</v>
      </c>
      <c r="B26" s="8">
        <v>6253500761313</v>
      </c>
      <c r="C26" s="3" t="s">
        <v>38</v>
      </c>
      <c r="D26" s="11">
        <v>12</v>
      </c>
      <c r="E26" s="5">
        <v>11</v>
      </c>
      <c r="F26" s="5">
        <f t="shared" si="0"/>
        <v>0.91666666666666663</v>
      </c>
      <c r="G26" s="11" t="s">
        <v>102</v>
      </c>
      <c r="H26" s="11" t="s">
        <v>104</v>
      </c>
      <c r="I26" s="16"/>
      <c r="J26" s="16"/>
      <c r="K26" s="16"/>
      <c r="L26" s="16"/>
      <c r="M26" s="16"/>
    </row>
    <row r="27" spans="1:13" ht="23.4" customHeight="1" x14ac:dyDescent="0.3">
      <c r="A27" s="11">
        <v>300004</v>
      </c>
      <c r="B27" s="8">
        <v>6253500760187</v>
      </c>
      <c r="C27" s="3" t="s">
        <v>39</v>
      </c>
      <c r="D27" s="11">
        <v>12</v>
      </c>
      <c r="E27" s="5">
        <v>11</v>
      </c>
      <c r="F27" s="5">
        <f t="shared" si="0"/>
        <v>0.91666666666666663</v>
      </c>
      <c r="G27" s="11" t="s">
        <v>102</v>
      </c>
      <c r="H27" s="11" t="s">
        <v>104</v>
      </c>
      <c r="I27" s="16"/>
      <c r="J27" s="16"/>
      <c r="K27" s="16"/>
      <c r="L27" s="16"/>
      <c r="M27" s="16"/>
    </row>
    <row r="28" spans="1:13" ht="23.4" customHeight="1" x14ac:dyDescent="0.3">
      <c r="A28" s="11">
        <v>300010</v>
      </c>
      <c r="B28" s="8">
        <v>6253500765489</v>
      </c>
      <c r="C28" s="3" t="s">
        <v>40</v>
      </c>
      <c r="D28" s="11">
        <v>12</v>
      </c>
      <c r="E28" s="5">
        <v>11</v>
      </c>
      <c r="F28" s="5">
        <f t="shared" si="0"/>
        <v>0.91666666666666663</v>
      </c>
      <c r="G28" s="11" t="s">
        <v>102</v>
      </c>
      <c r="H28" s="11" t="s">
        <v>104</v>
      </c>
      <c r="I28" s="16"/>
      <c r="J28" s="16"/>
      <c r="K28" s="16"/>
      <c r="L28" s="16"/>
      <c r="M28" s="16"/>
    </row>
    <row r="29" spans="1:13" ht="23.4" customHeight="1" x14ac:dyDescent="0.3">
      <c r="A29" s="11">
        <v>300001</v>
      </c>
      <c r="B29" s="8">
        <v>6253500760057</v>
      </c>
      <c r="C29" s="3" t="s">
        <v>41</v>
      </c>
      <c r="D29" s="11">
        <v>12</v>
      </c>
      <c r="E29" s="5">
        <v>11</v>
      </c>
      <c r="F29" s="5">
        <f t="shared" si="0"/>
        <v>0.91666666666666663</v>
      </c>
      <c r="G29" s="11" t="s">
        <v>102</v>
      </c>
      <c r="H29" s="11" t="s">
        <v>104</v>
      </c>
      <c r="I29" s="16"/>
      <c r="J29" s="16"/>
      <c r="K29" s="16"/>
      <c r="L29" s="16"/>
      <c r="M29" s="16"/>
    </row>
    <row r="30" spans="1:13" ht="23.4" customHeight="1" x14ac:dyDescent="0.3">
      <c r="A30" s="11">
        <v>300021</v>
      </c>
      <c r="B30" s="8">
        <v>6253500761511</v>
      </c>
      <c r="C30" s="3" t="s">
        <v>42</v>
      </c>
      <c r="D30" s="11">
        <v>6</v>
      </c>
      <c r="E30" s="5">
        <v>10.5</v>
      </c>
      <c r="F30" s="5">
        <f t="shared" si="0"/>
        <v>1.75</v>
      </c>
      <c r="G30" s="11" t="s">
        <v>102</v>
      </c>
      <c r="H30" s="11" t="s">
        <v>104</v>
      </c>
      <c r="I30" s="16"/>
      <c r="J30" s="16"/>
      <c r="K30" s="16"/>
      <c r="L30" s="16"/>
      <c r="M30" s="16"/>
    </row>
    <row r="31" spans="1:13" ht="23.4" customHeight="1" x14ac:dyDescent="0.3">
      <c r="A31" s="11">
        <v>300008</v>
      </c>
      <c r="B31" s="8">
        <v>6253500761498</v>
      </c>
      <c r="C31" s="3" t="s">
        <v>43</v>
      </c>
      <c r="D31" s="11">
        <v>6</v>
      </c>
      <c r="E31" s="5">
        <v>10.5</v>
      </c>
      <c r="F31" s="5">
        <f t="shared" si="0"/>
        <v>1.75</v>
      </c>
      <c r="G31" s="11" t="s">
        <v>102</v>
      </c>
      <c r="H31" s="11" t="s">
        <v>104</v>
      </c>
      <c r="I31" s="16"/>
      <c r="J31" s="16"/>
      <c r="K31" s="16"/>
      <c r="L31" s="16"/>
      <c r="M31" s="16"/>
    </row>
    <row r="32" spans="1:13" ht="23.4" customHeight="1" x14ac:dyDescent="0.3">
      <c r="A32" s="11">
        <v>300007</v>
      </c>
      <c r="B32" s="8">
        <v>6253500761467</v>
      </c>
      <c r="C32" s="3" t="s">
        <v>44</v>
      </c>
      <c r="D32" s="11">
        <v>6</v>
      </c>
      <c r="E32" s="5">
        <v>10.5</v>
      </c>
      <c r="F32" s="5">
        <f t="shared" si="0"/>
        <v>1.75</v>
      </c>
      <c r="G32" s="11" t="s">
        <v>102</v>
      </c>
      <c r="H32" s="11" t="s">
        <v>104</v>
      </c>
      <c r="I32" s="16"/>
      <c r="J32" s="16"/>
      <c r="K32" s="16"/>
      <c r="L32" s="16"/>
      <c r="M32" s="16"/>
    </row>
    <row r="33" spans="1:13" ht="23.4" customHeight="1" x14ac:dyDescent="0.3">
      <c r="A33" s="11">
        <v>300012</v>
      </c>
      <c r="B33" s="8">
        <v>6253500761504</v>
      </c>
      <c r="C33" s="3" t="s">
        <v>45</v>
      </c>
      <c r="D33" s="11">
        <v>6</v>
      </c>
      <c r="E33" s="5">
        <v>10.5</v>
      </c>
      <c r="F33" s="5">
        <f t="shared" si="0"/>
        <v>1.75</v>
      </c>
      <c r="G33" s="11" t="s">
        <v>102</v>
      </c>
      <c r="H33" s="11" t="s">
        <v>104</v>
      </c>
      <c r="I33" s="16"/>
      <c r="J33" s="16"/>
      <c r="K33" s="16"/>
      <c r="L33" s="16"/>
      <c r="M33" s="16"/>
    </row>
    <row r="34" spans="1:13" ht="23.4" customHeight="1" x14ac:dyDescent="0.3">
      <c r="A34" s="11">
        <v>300009</v>
      </c>
      <c r="B34" s="8">
        <v>6253500761474</v>
      </c>
      <c r="C34" s="3" t="s">
        <v>46</v>
      </c>
      <c r="D34" s="11">
        <v>6</v>
      </c>
      <c r="E34" s="5">
        <v>10.5</v>
      </c>
      <c r="F34" s="5">
        <f t="shared" si="0"/>
        <v>1.75</v>
      </c>
      <c r="G34" s="11" t="s">
        <v>102</v>
      </c>
      <c r="H34" s="11" t="s">
        <v>104</v>
      </c>
      <c r="I34" s="16"/>
      <c r="J34" s="16"/>
      <c r="K34" s="16"/>
      <c r="L34" s="16"/>
      <c r="M34" s="16"/>
    </row>
    <row r="35" spans="1:13" ht="23.4" customHeight="1" x14ac:dyDescent="0.3">
      <c r="A35" s="11">
        <v>300006</v>
      </c>
      <c r="B35" s="8">
        <v>6253500761450</v>
      </c>
      <c r="C35" s="3" t="s">
        <v>47</v>
      </c>
      <c r="D35" s="11">
        <v>6</v>
      </c>
      <c r="E35" s="5">
        <v>10.5</v>
      </c>
      <c r="F35" s="5">
        <f t="shared" si="0"/>
        <v>1.75</v>
      </c>
      <c r="G35" s="11" t="s">
        <v>102</v>
      </c>
      <c r="H35" s="11" t="s">
        <v>104</v>
      </c>
      <c r="I35" s="16"/>
      <c r="J35" s="16"/>
      <c r="K35" s="16"/>
      <c r="L35" s="16"/>
      <c r="M35" s="16"/>
    </row>
    <row r="36" spans="1:13" ht="23.4" customHeight="1" x14ac:dyDescent="0.3">
      <c r="A36" s="11">
        <v>300011</v>
      </c>
      <c r="B36" s="8">
        <v>6253500761481</v>
      </c>
      <c r="C36" s="3" t="s">
        <v>48</v>
      </c>
      <c r="D36" s="11">
        <v>6</v>
      </c>
      <c r="E36" s="5">
        <v>10.5</v>
      </c>
      <c r="F36" s="5">
        <f t="shared" si="0"/>
        <v>1.75</v>
      </c>
      <c r="G36" s="11" t="s">
        <v>102</v>
      </c>
      <c r="H36" s="11" t="s">
        <v>104</v>
      </c>
      <c r="I36" s="16"/>
      <c r="J36" s="16"/>
      <c r="K36" s="16"/>
      <c r="L36" s="16"/>
      <c r="M36" s="16"/>
    </row>
    <row r="37" spans="1:13" ht="23.4" customHeight="1" x14ac:dyDescent="0.3">
      <c r="A37" s="11">
        <v>300024</v>
      </c>
      <c r="B37" s="8">
        <v>6253500763607</v>
      </c>
      <c r="C37" s="3" t="s">
        <v>236</v>
      </c>
      <c r="D37" s="11">
        <v>4</v>
      </c>
      <c r="E37" s="5">
        <v>14.25</v>
      </c>
      <c r="F37" s="5">
        <f t="shared" si="0"/>
        <v>3.5625</v>
      </c>
      <c r="G37" s="11" t="s">
        <v>102</v>
      </c>
      <c r="H37" s="11"/>
      <c r="I37" s="16"/>
      <c r="J37" s="16"/>
      <c r="K37" s="16"/>
      <c r="L37" s="16"/>
      <c r="M37" s="16"/>
    </row>
    <row r="38" spans="1:13" ht="23.4" customHeight="1" x14ac:dyDescent="0.3">
      <c r="A38" s="11">
        <v>500001</v>
      </c>
      <c r="B38" s="8">
        <v>6253500760132</v>
      </c>
      <c r="C38" s="3" t="s">
        <v>50</v>
      </c>
      <c r="D38" s="11">
        <v>12</v>
      </c>
      <c r="E38" s="5">
        <v>15.3</v>
      </c>
      <c r="F38" s="5">
        <f t="shared" si="0"/>
        <v>1.2750000000000001</v>
      </c>
      <c r="G38" s="11"/>
      <c r="H38" s="11"/>
      <c r="I38" s="16"/>
      <c r="J38" s="16"/>
      <c r="K38" s="16"/>
      <c r="L38" s="16"/>
      <c r="M38" s="16"/>
    </row>
    <row r="39" spans="1:13" ht="23.4" customHeight="1" x14ac:dyDescent="0.3">
      <c r="A39" s="11">
        <v>600045</v>
      </c>
      <c r="B39" s="8">
        <v>6253500762679</v>
      </c>
      <c r="C39" s="3" t="s">
        <v>52</v>
      </c>
      <c r="D39" s="11">
        <v>12</v>
      </c>
      <c r="E39" s="5">
        <v>11</v>
      </c>
      <c r="F39" s="5">
        <f t="shared" si="0"/>
        <v>0.91666666666666663</v>
      </c>
      <c r="G39" s="11" t="s">
        <v>102</v>
      </c>
      <c r="H39" s="11" t="s">
        <v>104</v>
      </c>
      <c r="I39" s="16"/>
      <c r="J39" s="16"/>
      <c r="K39" s="16"/>
      <c r="L39" s="16"/>
      <c r="M39" s="16"/>
    </row>
    <row r="40" spans="1:13" ht="23.4" customHeight="1" x14ac:dyDescent="0.3">
      <c r="A40" s="11">
        <v>600043</v>
      </c>
      <c r="B40" s="8">
        <v>6253500762662</v>
      </c>
      <c r="C40" s="3" t="s">
        <v>53</v>
      </c>
      <c r="D40" s="11">
        <v>12</v>
      </c>
      <c r="E40" s="5">
        <v>11</v>
      </c>
      <c r="F40" s="5">
        <f t="shared" si="0"/>
        <v>0.91666666666666663</v>
      </c>
      <c r="G40" s="11" t="s">
        <v>102</v>
      </c>
      <c r="H40" s="11" t="s">
        <v>104</v>
      </c>
      <c r="I40" s="16"/>
      <c r="J40" s="16"/>
      <c r="K40" s="16"/>
      <c r="L40" s="16"/>
      <c r="M40" s="16"/>
    </row>
    <row r="41" spans="1:13" ht="23.4" customHeight="1" x14ac:dyDescent="0.3">
      <c r="A41" s="11">
        <v>600044</v>
      </c>
      <c r="B41" s="8">
        <v>6253500762655</v>
      </c>
      <c r="C41" s="3" t="s">
        <v>54</v>
      </c>
      <c r="D41" s="11">
        <v>12</v>
      </c>
      <c r="E41" s="5">
        <v>11</v>
      </c>
      <c r="F41" s="5">
        <f t="shared" si="0"/>
        <v>0.91666666666666663</v>
      </c>
      <c r="G41" s="11" t="s">
        <v>102</v>
      </c>
      <c r="H41" s="11" t="s">
        <v>104</v>
      </c>
      <c r="I41" s="16"/>
      <c r="J41" s="16"/>
      <c r="K41" s="16"/>
      <c r="L41" s="16"/>
      <c r="M41" s="16"/>
    </row>
    <row r="42" spans="1:13" ht="23.4" customHeight="1" x14ac:dyDescent="0.3">
      <c r="A42" s="11">
        <v>600031</v>
      </c>
      <c r="B42" s="8">
        <v>6253500762648</v>
      </c>
      <c r="C42" s="3" t="s">
        <v>55</v>
      </c>
      <c r="D42" s="11">
        <v>6</v>
      </c>
      <c r="E42" s="5">
        <v>10.5</v>
      </c>
      <c r="F42" s="5">
        <f t="shared" si="0"/>
        <v>1.75</v>
      </c>
      <c r="G42" s="11" t="s">
        <v>102</v>
      </c>
      <c r="H42" s="11" t="s">
        <v>104</v>
      </c>
      <c r="I42" s="16"/>
      <c r="J42" s="16"/>
      <c r="K42" s="16"/>
      <c r="L42" s="16"/>
      <c r="M42" s="16"/>
    </row>
    <row r="43" spans="1:13" ht="23.4" customHeight="1" x14ac:dyDescent="0.3">
      <c r="A43" s="11">
        <v>600032</v>
      </c>
      <c r="B43" s="8">
        <v>6253500761429</v>
      </c>
      <c r="C43" s="3" t="s">
        <v>56</v>
      </c>
      <c r="D43" s="11">
        <v>6</v>
      </c>
      <c r="E43" s="5">
        <v>10.5</v>
      </c>
      <c r="F43" s="5">
        <f t="shared" si="0"/>
        <v>1.75</v>
      </c>
      <c r="G43" s="11" t="s">
        <v>102</v>
      </c>
      <c r="H43" s="11" t="s">
        <v>104</v>
      </c>
      <c r="I43" s="16"/>
      <c r="J43" s="16"/>
      <c r="K43" s="16"/>
      <c r="L43" s="16"/>
      <c r="M43" s="16"/>
    </row>
    <row r="44" spans="1:13" ht="23.4" customHeight="1" x14ac:dyDescent="0.3">
      <c r="A44" s="11">
        <v>600033</v>
      </c>
      <c r="B44" s="8">
        <v>6253500762914</v>
      </c>
      <c r="C44" s="3" t="s">
        <v>57</v>
      </c>
      <c r="D44" s="11">
        <v>6</v>
      </c>
      <c r="E44" s="5">
        <v>10.5</v>
      </c>
      <c r="F44" s="5">
        <f t="shared" si="0"/>
        <v>1.75</v>
      </c>
      <c r="G44" s="11" t="s">
        <v>102</v>
      </c>
      <c r="H44" s="11" t="s">
        <v>104</v>
      </c>
      <c r="I44" s="16"/>
      <c r="J44" s="16"/>
      <c r="K44" s="16"/>
      <c r="L44" s="16"/>
      <c r="M44" s="16"/>
    </row>
    <row r="45" spans="1:13" ht="23.4" customHeight="1" x14ac:dyDescent="0.3">
      <c r="A45" s="11">
        <v>600019</v>
      </c>
      <c r="B45" s="8">
        <v>6253500760736</v>
      </c>
      <c r="C45" s="3" t="s">
        <v>58</v>
      </c>
      <c r="D45" s="11">
        <v>12</v>
      </c>
      <c r="E45" s="5">
        <v>11.5</v>
      </c>
      <c r="F45" s="5">
        <f t="shared" si="0"/>
        <v>0.95833333333333337</v>
      </c>
      <c r="G45" s="11" t="s">
        <v>123</v>
      </c>
      <c r="H45" s="11"/>
      <c r="I45" s="16"/>
      <c r="J45" s="16"/>
      <c r="K45" s="16"/>
      <c r="L45" s="16"/>
      <c r="M45" s="16"/>
    </row>
    <row r="46" spans="1:13" ht="23.4" customHeight="1" x14ac:dyDescent="0.3">
      <c r="A46" s="11">
        <v>600023</v>
      </c>
      <c r="B46" s="8">
        <v>6253500763034</v>
      </c>
      <c r="C46" s="3" t="s">
        <v>59</v>
      </c>
      <c r="D46" s="11">
        <v>12</v>
      </c>
      <c r="E46" s="5">
        <v>11.5</v>
      </c>
      <c r="F46" s="5">
        <f t="shared" si="0"/>
        <v>0.95833333333333337</v>
      </c>
      <c r="G46" s="11" t="s">
        <v>123</v>
      </c>
      <c r="H46" s="11"/>
      <c r="I46" s="16"/>
      <c r="J46" s="16"/>
      <c r="K46" s="16"/>
      <c r="L46" s="16"/>
      <c r="M46" s="16"/>
    </row>
    <row r="47" spans="1:13" ht="23.4" customHeight="1" x14ac:dyDescent="0.3">
      <c r="A47" s="11">
        <v>600020</v>
      </c>
      <c r="B47" s="8">
        <v>6253500761184</v>
      </c>
      <c r="C47" s="3" t="s">
        <v>60</v>
      </c>
      <c r="D47" s="11">
        <v>12</v>
      </c>
      <c r="E47" s="5">
        <v>11.5</v>
      </c>
      <c r="F47" s="5">
        <f t="shared" si="0"/>
        <v>0.95833333333333337</v>
      </c>
      <c r="G47" s="11" t="s">
        <v>123</v>
      </c>
      <c r="H47" s="11"/>
      <c r="I47" s="16"/>
      <c r="J47" s="16"/>
      <c r="K47" s="16"/>
      <c r="L47" s="16"/>
      <c r="M47" s="16"/>
    </row>
    <row r="48" spans="1:13" ht="23.4" customHeight="1" x14ac:dyDescent="0.3">
      <c r="A48" s="11">
        <v>600029</v>
      </c>
      <c r="B48" s="8">
        <v>6253500761191</v>
      </c>
      <c r="C48" s="3" t="s">
        <v>114</v>
      </c>
      <c r="D48" s="11">
        <v>6</v>
      </c>
      <c r="E48" s="5">
        <v>11</v>
      </c>
      <c r="F48" s="5">
        <f t="shared" si="0"/>
        <v>1.8333333333333333</v>
      </c>
      <c r="G48" s="11" t="s">
        <v>122</v>
      </c>
      <c r="H48" s="11"/>
      <c r="I48" s="16"/>
      <c r="J48" s="16"/>
      <c r="K48" s="16"/>
      <c r="L48" s="16"/>
      <c r="M48" s="16"/>
    </row>
    <row r="49" spans="1:13" ht="23.4" customHeight="1" x14ac:dyDescent="0.3">
      <c r="A49" s="11">
        <v>600030</v>
      </c>
      <c r="B49" s="8">
        <v>6253500763195</v>
      </c>
      <c r="C49" s="3" t="s">
        <v>115</v>
      </c>
      <c r="D49" s="11">
        <v>6</v>
      </c>
      <c r="E49" s="5">
        <v>11</v>
      </c>
      <c r="F49" s="5">
        <f t="shared" si="0"/>
        <v>1.8333333333333333</v>
      </c>
      <c r="G49" s="11" t="s">
        <v>122</v>
      </c>
      <c r="H49" s="11"/>
      <c r="I49" s="16"/>
      <c r="J49" s="16"/>
      <c r="K49" s="16"/>
      <c r="L49" s="16"/>
      <c r="M49" s="16"/>
    </row>
    <row r="50" spans="1:13" ht="23.4" customHeight="1" x14ac:dyDescent="0.3">
      <c r="A50" s="11">
        <v>600025</v>
      </c>
      <c r="B50" s="8">
        <v>6253500761221</v>
      </c>
      <c r="C50" s="3" t="s">
        <v>113</v>
      </c>
      <c r="D50" s="11">
        <v>6</v>
      </c>
      <c r="E50" s="5">
        <v>11</v>
      </c>
      <c r="F50" s="5">
        <f t="shared" si="0"/>
        <v>1.8333333333333333</v>
      </c>
      <c r="G50" s="11" t="s">
        <v>122</v>
      </c>
      <c r="H50" s="11"/>
      <c r="I50" s="16"/>
      <c r="J50" s="16"/>
      <c r="K50" s="16"/>
      <c r="L50" s="16"/>
      <c r="M50" s="16"/>
    </row>
    <row r="51" spans="1:13" ht="23.4" customHeight="1" x14ac:dyDescent="0.3">
      <c r="A51" s="11">
        <v>600018</v>
      </c>
      <c r="B51" s="8">
        <v>6253500760156</v>
      </c>
      <c r="C51" s="3" t="s">
        <v>61</v>
      </c>
      <c r="D51" s="11">
        <v>12</v>
      </c>
      <c r="E51" s="5">
        <v>5.56</v>
      </c>
      <c r="F51" s="5">
        <f t="shared" si="0"/>
        <v>0.46333333333333332</v>
      </c>
      <c r="G51" s="11" t="s">
        <v>102</v>
      </c>
      <c r="H51" s="11" t="s">
        <v>104</v>
      </c>
      <c r="I51" s="16"/>
      <c r="J51" s="16"/>
      <c r="K51" s="16"/>
      <c r="L51" s="16"/>
      <c r="M51" s="16"/>
    </row>
    <row r="52" spans="1:13" ht="23.4" customHeight="1" x14ac:dyDescent="0.3">
      <c r="A52" s="11">
        <v>600040</v>
      </c>
      <c r="B52" s="8">
        <v>6253011995245</v>
      </c>
      <c r="C52" s="3" t="s">
        <v>62</v>
      </c>
      <c r="D52" s="11">
        <v>12</v>
      </c>
      <c r="E52" s="5">
        <v>9.9</v>
      </c>
      <c r="F52" s="5">
        <f t="shared" si="0"/>
        <v>0.82500000000000007</v>
      </c>
      <c r="G52" s="11" t="s">
        <v>102</v>
      </c>
      <c r="H52" s="11" t="s">
        <v>104</v>
      </c>
      <c r="I52" s="16"/>
      <c r="J52" s="16"/>
      <c r="K52" s="16"/>
      <c r="L52" s="16"/>
      <c r="M52" s="16"/>
    </row>
    <row r="53" spans="1:13" ht="23.4" customHeight="1" x14ac:dyDescent="0.3">
      <c r="A53" s="11">
        <v>600132</v>
      </c>
      <c r="B53" s="8">
        <v>6253500764949</v>
      </c>
      <c r="C53" s="3" t="s">
        <v>63</v>
      </c>
      <c r="D53" s="11">
        <v>12</v>
      </c>
      <c r="E53" s="5">
        <v>11</v>
      </c>
      <c r="F53" s="5">
        <f t="shared" si="0"/>
        <v>0.91666666666666663</v>
      </c>
      <c r="G53" s="11" t="s">
        <v>102</v>
      </c>
      <c r="H53" s="11" t="s">
        <v>104</v>
      </c>
      <c r="I53" s="16"/>
      <c r="J53" s="16"/>
      <c r="K53" s="16"/>
      <c r="L53" s="16"/>
      <c r="M53" s="16"/>
    </row>
    <row r="54" spans="1:13" ht="23.4" customHeight="1" x14ac:dyDescent="0.3">
      <c r="A54" s="11">
        <v>600130</v>
      </c>
      <c r="B54" s="8">
        <v>6253500764963</v>
      </c>
      <c r="C54" s="3" t="s">
        <v>64</v>
      </c>
      <c r="D54" s="11">
        <v>12</v>
      </c>
      <c r="E54" s="5">
        <v>11</v>
      </c>
      <c r="F54" s="5">
        <f t="shared" si="0"/>
        <v>0.91666666666666663</v>
      </c>
      <c r="G54" s="11" t="s">
        <v>102</v>
      </c>
      <c r="H54" s="11" t="s">
        <v>104</v>
      </c>
      <c r="I54" s="16"/>
      <c r="J54" s="16"/>
      <c r="K54" s="16"/>
      <c r="L54" s="16"/>
      <c r="M54" s="16"/>
    </row>
    <row r="55" spans="1:13" ht="23.4" customHeight="1" x14ac:dyDescent="0.3">
      <c r="A55" s="11">
        <v>600134</v>
      </c>
      <c r="B55" s="8">
        <v>6253500764956</v>
      </c>
      <c r="C55" s="3" t="s">
        <v>65</v>
      </c>
      <c r="D55" s="11">
        <v>12</v>
      </c>
      <c r="E55" s="5">
        <v>11</v>
      </c>
      <c r="F55" s="5">
        <f t="shared" si="0"/>
        <v>0.91666666666666663</v>
      </c>
      <c r="G55" s="11" t="s">
        <v>102</v>
      </c>
      <c r="H55" s="11" t="s">
        <v>104</v>
      </c>
      <c r="I55" s="16"/>
      <c r="J55" s="16"/>
      <c r="K55" s="16"/>
      <c r="L55" s="16"/>
      <c r="M55" s="16"/>
    </row>
    <row r="56" spans="1:13" ht="23.4" customHeight="1" x14ac:dyDescent="0.3">
      <c r="A56" s="11">
        <v>600131</v>
      </c>
      <c r="B56" s="8">
        <v>6253500764932</v>
      </c>
      <c r="C56" s="3" t="s">
        <v>66</v>
      </c>
      <c r="D56" s="11">
        <v>12</v>
      </c>
      <c r="E56" s="5">
        <v>11</v>
      </c>
      <c r="F56" s="5">
        <f t="shared" si="0"/>
        <v>0.91666666666666663</v>
      </c>
      <c r="G56" s="11" t="s">
        <v>102</v>
      </c>
      <c r="H56" s="11" t="s">
        <v>104</v>
      </c>
      <c r="I56" s="16"/>
      <c r="J56" s="16"/>
      <c r="K56" s="16"/>
      <c r="L56" s="16"/>
      <c r="M56" s="16"/>
    </row>
    <row r="57" spans="1:13" ht="23.4" customHeight="1" x14ac:dyDescent="0.3">
      <c r="A57" s="11">
        <v>600133</v>
      </c>
      <c r="B57" s="8">
        <v>6253500764925</v>
      </c>
      <c r="C57" s="3" t="s">
        <v>67</v>
      </c>
      <c r="D57" s="11">
        <v>12</v>
      </c>
      <c r="E57" s="5">
        <v>11</v>
      </c>
      <c r="F57" s="5">
        <f t="shared" si="0"/>
        <v>0.91666666666666663</v>
      </c>
      <c r="G57" s="11" t="s">
        <v>102</v>
      </c>
      <c r="H57" s="11" t="s">
        <v>104</v>
      </c>
      <c r="I57" s="16"/>
      <c r="J57" s="16"/>
      <c r="K57" s="16"/>
      <c r="L57" s="16"/>
      <c r="M57" s="16"/>
    </row>
    <row r="58" spans="1:13" ht="23.4" customHeight="1" x14ac:dyDescent="0.3">
      <c r="A58" s="11">
        <v>600140</v>
      </c>
      <c r="B58" s="8">
        <v>6253500765052</v>
      </c>
      <c r="C58" s="3" t="s">
        <v>68</v>
      </c>
      <c r="D58" s="11">
        <v>6</v>
      </c>
      <c r="E58" s="5">
        <v>9.5</v>
      </c>
      <c r="F58" s="5">
        <f t="shared" si="0"/>
        <v>1.5833333333333333</v>
      </c>
      <c r="G58" s="11" t="s">
        <v>102</v>
      </c>
      <c r="H58" s="11" t="s">
        <v>104</v>
      </c>
      <c r="I58" s="16"/>
      <c r="J58" s="16"/>
      <c r="K58" s="16"/>
      <c r="L58" s="16"/>
      <c r="M58" s="16"/>
    </row>
    <row r="59" spans="1:13" ht="23.4" customHeight="1" x14ac:dyDescent="0.3">
      <c r="A59" s="11">
        <v>600140</v>
      </c>
      <c r="B59" s="8">
        <v>6253500765038</v>
      </c>
      <c r="C59" s="3" t="s">
        <v>69</v>
      </c>
      <c r="D59" s="11">
        <v>6</v>
      </c>
      <c r="E59" s="5">
        <v>9.5</v>
      </c>
      <c r="F59" s="5">
        <f t="shared" si="0"/>
        <v>1.5833333333333333</v>
      </c>
      <c r="G59" s="11" t="s">
        <v>102</v>
      </c>
      <c r="H59" s="11" t="s">
        <v>104</v>
      </c>
      <c r="I59" s="16"/>
      <c r="J59" s="16"/>
      <c r="K59" s="16"/>
      <c r="L59" s="16"/>
      <c r="M59" s="16"/>
    </row>
    <row r="60" spans="1:13" ht="23.4" customHeight="1" x14ac:dyDescent="0.3">
      <c r="A60" s="11">
        <v>600140</v>
      </c>
      <c r="B60" s="8">
        <v>6253500765069</v>
      </c>
      <c r="C60" s="3" t="s">
        <v>70</v>
      </c>
      <c r="D60" s="11">
        <v>6</v>
      </c>
      <c r="E60" s="5">
        <v>9.5</v>
      </c>
      <c r="F60" s="5">
        <f t="shared" si="0"/>
        <v>1.5833333333333333</v>
      </c>
      <c r="G60" s="11" t="s">
        <v>102</v>
      </c>
      <c r="H60" s="11" t="s">
        <v>104</v>
      </c>
      <c r="I60" s="16"/>
      <c r="J60" s="16"/>
      <c r="K60" s="16"/>
      <c r="L60" s="16"/>
      <c r="M60" s="16"/>
    </row>
    <row r="61" spans="1:13" ht="23.4" customHeight="1" x14ac:dyDescent="0.3">
      <c r="A61" s="11">
        <v>600140</v>
      </c>
      <c r="B61" s="8">
        <v>6253500765045</v>
      </c>
      <c r="C61" s="3" t="s">
        <v>71</v>
      </c>
      <c r="D61" s="11">
        <v>6</v>
      </c>
      <c r="E61" s="5">
        <v>9.5</v>
      </c>
      <c r="F61" s="5">
        <f t="shared" si="0"/>
        <v>1.5833333333333333</v>
      </c>
      <c r="G61" s="11" t="s">
        <v>102</v>
      </c>
      <c r="H61" s="11" t="s">
        <v>104</v>
      </c>
      <c r="I61" s="16"/>
      <c r="J61" s="16"/>
      <c r="K61" s="16"/>
      <c r="L61" s="16"/>
      <c r="M61" s="16"/>
    </row>
    <row r="62" spans="1:13" ht="23.4" customHeight="1" x14ac:dyDescent="0.3">
      <c r="A62" s="11">
        <v>600065</v>
      </c>
      <c r="B62" s="8">
        <v>6253500765021</v>
      </c>
      <c r="C62" s="3" t="s">
        <v>72</v>
      </c>
      <c r="D62" s="11">
        <v>6</v>
      </c>
      <c r="E62" s="5">
        <v>9.5</v>
      </c>
      <c r="F62" s="5">
        <f t="shared" si="0"/>
        <v>1.5833333333333333</v>
      </c>
      <c r="G62" s="11" t="s">
        <v>102</v>
      </c>
      <c r="H62" s="11" t="s">
        <v>104</v>
      </c>
      <c r="I62" s="16"/>
      <c r="J62" s="16"/>
      <c r="K62" s="16"/>
      <c r="L62" s="16"/>
      <c r="M62" s="16"/>
    </row>
    <row r="63" spans="1:13" ht="23.4" customHeight="1" x14ac:dyDescent="0.3">
      <c r="A63" s="11">
        <v>600065</v>
      </c>
      <c r="B63" s="8">
        <v>6253500763256</v>
      </c>
      <c r="C63" s="3" t="s">
        <v>73</v>
      </c>
      <c r="D63" s="11">
        <v>4</v>
      </c>
      <c r="E63" s="5">
        <v>8.25</v>
      </c>
      <c r="F63" s="5">
        <f t="shared" si="0"/>
        <v>2.0625</v>
      </c>
      <c r="G63" s="11" t="s">
        <v>102</v>
      </c>
      <c r="H63" s="11" t="s">
        <v>104</v>
      </c>
      <c r="I63" s="16"/>
      <c r="J63" s="16"/>
      <c r="K63" s="16"/>
      <c r="L63" s="16"/>
      <c r="M63" s="16"/>
    </row>
    <row r="64" spans="1:13" ht="23.4" customHeight="1" x14ac:dyDescent="0.3">
      <c r="A64" s="11">
        <v>600073</v>
      </c>
      <c r="B64" s="8">
        <v>6253500763270</v>
      </c>
      <c r="C64" s="3" t="s">
        <v>74</v>
      </c>
      <c r="D64" s="11">
        <v>4</v>
      </c>
      <c r="E64" s="5">
        <v>8.25</v>
      </c>
      <c r="F64" s="5">
        <f t="shared" si="0"/>
        <v>2.0625</v>
      </c>
      <c r="G64" s="11" t="s">
        <v>102</v>
      </c>
      <c r="H64" s="11" t="s">
        <v>104</v>
      </c>
      <c r="I64" s="16"/>
      <c r="J64" s="16"/>
      <c r="K64" s="16"/>
      <c r="L64" s="16"/>
      <c r="M64" s="16"/>
    </row>
    <row r="65" spans="1:13" ht="23.4" customHeight="1" x14ac:dyDescent="0.3">
      <c r="A65" s="11">
        <v>600064</v>
      </c>
      <c r="B65" s="8">
        <v>6253500763249</v>
      </c>
      <c r="C65" s="3" t="s">
        <v>75</v>
      </c>
      <c r="D65" s="11">
        <v>4</v>
      </c>
      <c r="E65" s="5">
        <v>8.25</v>
      </c>
      <c r="F65" s="5">
        <f t="shared" si="0"/>
        <v>2.0625</v>
      </c>
      <c r="G65" s="11" t="s">
        <v>102</v>
      </c>
      <c r="H65" s="11" t="s">
        <v>104</v>
      </c>
      <c r="I65" s="16"/>
      <c r="J65" s="16"/>
      <c r="K65" s="16"/>
      <c r="L65" s="16"/>
      <c r="M65" s="16"/>
    </row>
    <row r="66" spans="1:13" ht="23.4" customHeight="1" x14ac:dyDescent="0.3">
      <c r="A66" s="11">
        <v>600069</v>
      </c>
      <c r="B66" s="8">
        <v>6253500763300</v>
      </c>
      <c r="C66" s="3" t="s">
        <v>76</v>
      </c>
      <c r="D66" s="11">
        <v>4</v>
      </c>
      <c r="E66" s="5">
        <v>8.25</v>
      </c>
      <c r="F66" s="5">
        <f t="shared" si="0"/>
        <v>2.0625</v>
      </c>
      <c r="G66" s="11" t="s">
        <v>102</v>
      </c>
      <c r="H66" s="11" t="s">
        <v>104</v>
      </c>
      <c r="I66" s="16"/>
      <c r="J66" s="16"/>
      <c r="K66" s="16"/>
      <c r="L66" s="16"/>
      <c r="M66" s="16"/>
    </row>
    <row r="67" spans="1:13" ht="23.4" customHeight="1" x14ac:dyDescent="0.3">
      <c r="A67" s="11">
        <v>600067</v>
      </c>
      <c r="B67" s="8">
        <v>6253500763294</v>
      </c>
      <c r="C67" s="3" t="s">
        <v>77</v>
      </c>
      <c r="D67" s="11">
        <v>4</v>
      </c>
      <c r="E67" s="5">
        <v>8.25</v>
      </c>
      <c r="F67" s="5">
        <f t="shared" si="0"/>
        <v>2.0625</v>
      </c>
      <c r="G67" s="11" t="s">
        <v>102</v>
      </c>
      <c r="H67" s="11" t="s">
        <v>104</v>
      </c>
      <c r="I67" s="16"/>
      <c r="J67" s="16"/>
      <c r="K67" s="16"/>
      <c r="L67" s="16"/>
      <c r="M67" s="16"/>
    </row>
    <row r="68" spans="1:13" ht="23.4" customHeight="1" x14ac:dyDescent="0.3">
      <c r="A68" s="11">
        <v>600068</v>
      </c>
      <c r="B68" s="8">
        <v>6253500763324</v>
      </c>
      <c r="C68" s="3" t="s">
        <v>78</v>
      </c>
      <c r="D68" s="11">
        <v>4</v>
      </c>
      <c r="E68" s="5">
        <v>8.25</v>
      </c>
      <c r="F68" s="5">
        <f t="shared" ref="F68:F106" si="1">E68/D68</f>
        <v>2.0625</v>
      </c>
      <c r="G68" s="11" t="s">
        <v>102</v>
      </c>
      <c r="H68" s="11" t="s">
        <v>104</v>
      </c>
      <c r="I68" s="16"/>
      <c r="J68" s="16"/>
      <c r="K68" s="16"/>
      <c r="L68" s="16"/>
      <c r="M68" s="16"/>
    </row>
    <row r="69" spans="1:13" ht="23.4" customHeight="1" x14ac:dyDescent="0.3">
      <c r="A69" s="11">
        <v>600072</v>
      </c>
      <c r="B69" s="8">
        <v>6253500763263</v>
      </c>
      <c r="C69" s="3" t="s">
        <v>79</v>
      </c>
      <c r="D69" s="11">
        <v>4</v>
      </c>
      <c r="E69" s="5">
        <v>8.25</v>
      </c>
      <c r="F69" s="5">
        <f t="shared" si="1"/>
        <v>2.0625</v>
      </c>
      <c r="G69" s="11" t="s">
        <v>102</v>
      </c>
      <c r="H69" s="11" t="s">
        <v>104</v>
      </c>
      <c r="I69" s="16"/>
      <c r="J69" s="16"/>
      <c r="K69" s="16"/>
      <c r="L69" s="16"/>
      <c r="M69" s="16"/>
    </row>
    <row r="70" spans="1:13" ht="23.4" customHeight="1" x14ac:dyDescent="0.3">
      <c r="A70" s="11">
        <v>600070</v>
      </c>
      <c r="B70" s="8">
        <v>6253500763317</v>
      </c>
      <c r="C70" s="3" t="s">
        <v>80</v>
      </c>
      <c r="D70" s="11">
        <v>4</v>
      </c>
      <c r="E70" s="5">
        <v>8.25</v>
      </c>
      <c r="F70" s="5">
        <f t="shared" si="1"/>
        <v>2.0625</v>
      </c>
      <c r="G70" s="11" t="s">
        <v>102</v>
      </c>
      <c r="H70" s="11" t="s">
        <v>104</v>
      </c>
      <c r="I70" s="16"/>
      <c r="J70" s="16"/>
      <c r="K70" s="16"/>
      <c r="L70" s="16"/>
      <c r="M70" s="16"/>
    </row>
    <row r="71" spans="1:13" ht="23.4" customHeight="1" x14ac:dyDescent="0.3">
      <c r="A71" s="11">
        <v>600071</v>
      </c>
      <c r="B71" s="8">
        <v>6253500763331</v>
      </c>
      <c r="C71" s="3" t="s">
        <v>81</v>
      </c>
      <c r="D71" s="11">
        <v>4</v>
      </c>
      <c r="E71" s="5">
        <v>8.25</v>
      </c>
      <c r="F71" s="5">
        <f t="shared" si="1"/>
        <v>2.0625</v>
      </c>
      <c r="G71" s="11" t="s">
        <v>102</v>
      </c>
      <c r="H71" s="11" t="s">
        <v>104</v>
      </c>
      <c r="I71" s="16"/>
      <c r="J71" s="16"/>
      <c r="K71" s="16"/>
      <c r="L71" s="16"/>
      <c r="M71" s="16"/>
    </row>
    <row r="72" spans="1:13" ht="23.4" customHeight="1" x14ac:dyDescent="0.3">
      <c r="A72" s="11">
        <v>600066</v>
      </c>
      <c r="B72" s="8">
        <v>6253500763287</v>
      </c>
      <c r="C72" s="3" t="s">
        <v>82</v>
      </c>
      <c r="D72" s="11">
        <v>4</v>
      </c>
      <c r="E72" s="5">
        <v>8.25</v>
      </c>
      <c r="F72" s="5">
        <f t="shared" si="1"/>
        <v>2.0625</v>
      </c>
      <c r="G72" s="11" t="s">
        <v>102</v>
      </c>
      <c r="H72" s="11" t="s">
        <v>104</v>
      </c>
      <c r="I72" s="16"/>
      <c r="J72" s="16"/>
      <c r="K72" s="16"/>
      <c r="L72" s="16"/>
      <c r="M72" s="16"/>
    </row>
    <row r="73" spans="1:13" ht="23.4" customHeight="1" x14ac:dyDescent="0.3">
      <c r="A73" s="11">
        <v>400001</v>
      </c>
      <c r="B73" s="8">
        <v>6253500760361</v>
      </c>
      <c r="C73" s="3" t="s">
        <v>96</v>
      </c>
      <c r="D73" s="11">
        <v>12</v>
      </c>
      <c r="E73" s="5">
        <v>8.5</v>
      </c>
      <c r="F73" s="5">
        <f t="shared" si="1"/>
        <v>0.70833333333333337</v>
      </c>
      <c r="G73" s="11" t="s">
        <v>102</v>
      </c>
      <c r="H73" s="11" t="s">
        <v>104</v>
      </c>
      <c r="I73" s="16"/>
      <c r="J73" s="16"/>
      <c r="K73" s="16"/>
      <c r="L73" s="16"/>
      <c r="M73" s="16"/>
    </row>
    <row r="74" spans="1:13" ht="23.4" customHeight="1" x14ac:dyDescent="0.3">
      <c r="A74" s="11">
        <v>400002</v>
      </c>
      <c r="B74" s="8">
        <v>6253500760279</v>
      </c>
      <c r="C74" s="3" t="s">
        <v>97</v>
      </c>
      <c r="D74" s="11">
        <v>12</v>
      </c>
      <c r="E74" s="5">
        <v>8.5</v>
      </c>
      <c r="F74" s="5">
        <f t="shared" si="1"/>
        <v>0.70833333333333337</v>
      </c>
      <c r="G74" s="11" t="s">
        <v>102</v>
      </c>
      <c r="H74" s="11" t="s">
        <v>104</v>
      </c>
      <c r="I74" s="16"/>
      <c r="J74" s="16"/>
      <c r="K74" s="16"/>
      <c r="L74" s="16"/>
      <c r="M74" s="16"/>
    </row>
    <row r="75" spans="1:13" ht="23.4" customHeight="1" x14ac:dyDescent="0.3">
      <c r="A75" s="11">
        <v>600060</v>
      </c>
      <c r="B75" s="8">
        <v>6253500761320</v>
      </c>
      <c r="C75" s="3" t="s">
        <v>83</v>
      </c>
      <c r="D75" s="11">
        <v>12</v>
      </c>
      <c r="E75" s="5">
        <v>9.25</v>
      </c>
      <c r="F75" s="5">
        <f t="shared" si="1"/>
        <v>0.77083333333333337</v>
      </c>
      <c r="G75" s="11" t="s">
        <v>102</v>
      </c>
      <c r="H75" s="11" t="s">
        <v>104</v>
      </c>
      <c r="I75" s="16"/>
      <c r="J75" s="16"/>
      <c r="K75" s="16"/>
      <c r="L75" s="16"/>
      <c r="M75" s="16"/>
    </row>
    <row r="76" spans="1:13" ht="23.4" customHeight="1" x14ac:dyDescent="0.3">
      <c r="A76" s="11">
        <v>600059</v>
      </c>
      <c r="B76" s="8">
        <v>6253500763010</v>
      </c>
      <c r="C76" s="3" t="s">
        <v>84</v>
      </c>
      <c r="D76" s="11">
        <v>12</v>
      </c>
      <c r="E76" s="5">
        <v>9.25</v>
      </c>
      <c r="F76" s="5">
        <f t="shared" si="1"/>
        <v>0.77083333333333337</v>
      </c>
      <c r="G76" s="11" t="s">
        <v>102</v>
      </c>
      <c r="H76" s="11" t="s">
        <v>104</v>
      </c>
      <c r="I76" s="16"/>
      <c r="J76" s="16"/>
      <c r="K76" s="16"/>
      <c r="L76" s="16"/>
      <c r="M76" s="16"/>
    </row>
    <row r="77" spans="1:13" ht="23.4" customHeight="1" x14ac:dyDescent="0.3">
      <c r="A77" s="11">
        <v>600057</v>
      </c>
      <c r="B77" s="8">
        <v>6253500761306</v>
      </c>
      <c r="C77" s="3" t="s">
        <v>85</v>
      </c>
      <c r="D77" s="11">
        <v>12</v>
      </c>
      <c r="E77" s="5">
        <v>9.25</v>
      </c>
      <c r="F77" s="5">
        <f t="shared" si="1"/>
        <v>0.77083333333333337</v>
      </c>
      <c r="G77" s="11" t="s">
        <v>102</v>
      </c>
      <c r="H77" s="11" t="s">
        <v>104</v>
      </c>
      <c r="I77" s="16"/>
      <c r="J77" s="16"/>
      <c r="K77" s="16"/>
      <c r="L77" s="16"/>
      <c r="M77" s="16"/>
    </row>
    <row r="78" spans="1:13" ht="23.4" customHeight="1" x14ac:dyDescent="0.3">
      <c r="A78" s="11">
        <v>600015</v>
      </c>
      <c r="B78" s="8">
        <v>6253500760910</v>
      </c>
      <c r="C78" s="3" t="s">
        <v>86</v>
      </c>
      <c r="D78" s="11">
        <v>12</v>
      </c>
      <c r="E78" s="5">
        <v>9.25</v>
      </c>
      <c r="F78" s="5">
        <f t="shared" si="1"/>
        <v>0.77083333333333337</v>
      </c>
      <c r="G78" s="11" t="s">
        <v>102</v>
      </c>
      <c r="H78" s="11" t="s">
        <v>104</v>
      </c>
      <c r="I78" s="16"/>
      <c r="J78" s="16"/>
      <c r="K78" s="16"/>
      <c r="L78" s="16"/>
      <c r="M78" s="16"/>
    </row>
    <row r="79" spans="1:13" ht="23.4" customHeight="1" x14ac:dyDescent="0.3">
      <c r="A79" s="11">
        <v>600014</v>
      </c>
      <c r="B79" s="8">
        <v>6253500760903</v>
      </c>
      <c r="C79" s="3" t="s">
        <v>87</v>
      </c>
      <c r="D79" s="11">
        <v>12</v>
      </c>
      <c r="E79" s="5">
        <v>9.25</v>
      </c>
      <c r="F79" s="5">
        <f t="shared" si="1"/>
        <v>0.77083333333333337</v>
      </c>
      <c r="G79" s="11" t="s">
        <v>102</v>
      </c>
      <c r="H79" s="11" t="s">
        <v>104</v>
      </c>
      <c r="I79" s="16"/>
      <c r="J79" s="16"/>
      <c r="K79" s="16"/>
      <c r="L79" s="16"/>
      <c r="M79" s="16"/>
    </row>
    <row r="80" spans="1:13" ht="23.4" customHeight="1" x14ac:dyDescent="0.3">
      <c r="A80" s="11">
        <v>600058</v>
      </c>
      <c r="B80" s="8">
        <v>6253500761337</v>
      </c>
      <c r="C80" s="3" t="s">
        <v>88</v>
      </c>
      <c r="D80" s="11">
        <v>12</v>
      </c>
      <c r="E80" s="5">
        <v>9.25</v>
      </c>
      <c r="F80" s="5">
        <f t="shared" si="1"/>
        <v>0.77083333333333337</v>
      </c>
      <c r="G80" s="11" t="s">
        <v>102</v>
      </c>
      <c r="H80" s="11" t="s">
        <v>104</v>
      </c>
      <c r="I80" s="16"/>
      <c r="J80" s="16"/>
      <c r="K80" s="16"/>
      <c r="L80" s="16"/>
      <c r="M80" s="16"/>
    </row>
    <row r="81" spans="1:13" ht="23.4" customHeight="1" x14ac:dyDescent="0.3">
      <c r="A81" s="11">
        <v>600061</v>
      </c>
      <c r="B81" s="8">
        <v>6253011995474</v>
      </c>
      <c r="C81" s="3" t="s">
        <v>89</v>
      </c>
      <c r="D81" s="11">
        <v>12</v>
      </c>
      <c r="E81" s="5">
        <v>9.25</v>
      </c>
      <c r="F81" s="5">
        <f t="shared" si="1"/>
        <v>0.77083333333333337</v>
      </c>
      <c r="G81" s="11" t="s">
        <v>102</v>
      </c>
      <c r="H81" s="11" t="s">
        <v>104</v>
      </c>
      <c r="I81" s="16"/>
      <c r="J81" s="16"/>
      <c r="K81" s="16"/>
      <c r="L81" s="16"/>
      <c r="M81" s="16"/>
    </row>
    <row r="82" spans="1:13" ht="23.4" customHeight="1" x14ac:dyDescent="0.3">
      <c r="A82" s="11">
        <v>600009</v>
      </c>
      <c r="B82" s="8">
        <v>6253011995436</v>
      </c>
      <c r="C82" s="3" t="s">
        <v>90</v>
      </c>
      <c r="D82" s="11">
        <v>12</v>
      </c>
      <c r="E82" s="5">
        <v>9.25</v>
      </c>
      <c r="F82" s="5">
        <f t="shared" si="1"/>
        <v>0.77083333333333337</v>
      </c>
      <c r="G82" s="11" t="s">
        <v>102</v>
      </c>
      <c r="H82" s="11" t="s">
        <v>104</v>
      </c>
      <c r="I82" s="16"/>
      <c r="J82" s="16"/>
      <c r="K82" s="16"/>
      <c r="L82" s="16"/>
      <c r="M82" s="16"/>
    </row>
    <row r="83" spans="1:13" ht="23.4" customHeight="1" x14ac:dyDescent="0.3">
      <c r="A83" s="11">
        <v>600056</v>
      </c>
      <c r="B83" s="8">
        <v>6253011995450</v>
      </c>
      <c r="C83" s="3" t="s">
        <v>91</v>
      </c>
      <c r="D83" s="11">
        <v>12</v>
      </c>
      <c r="E83" s="5">
        <v>9.25</v>
      </c>
      <c r="F83" s="5">
        <f t="shared" si="1"/>
        <v>0.77083333333333337</v>
      </c>
      <c r="G83" s="11" t="s">
        <v>102</v>
      </c>
      <c r="H83" s="11" t="s">
        <v>104</v>
      </c>
      <c r="I83" s="16"/>
      <c r="J83" s="16"/>
      <c r="K83" s="16"/>
      <c r="L83" s="16"/>
      <c r="M83" s="16"/>
    </row>
    <row r="84" spans="1:13" ht="23.4" customHeight="1" x14ac:dyDescent="0.3">
      <c r="A84" s="14">
        <v>600011</v>
      </c>
      <c r="B84" s="8">
        <v>6253011995467</v>
      </c>
      <c r="C84" s="3" t="s">
        <v>92</v>
      </c>
      <c r="D84" s="11">
        <v>12</v>
      </c>
      <c r="E84" s="5">
        <v>9.25</v>
      </c>
      <c r="F84" s="5">
        <f t="shared" si="1"/>
        <v>0.77083333333333337</v>
      </c>
      <c r="G84" s="11" t="s">
        <v>102</v>
      </c>
      <c r="H84" s="11" t="s">
        <v>104</v>
      </c>
      <c r="I84" s="16"/>
      <c r="J84" s="16"/>
      <c r="K84" s="16"/>
      <c r="L84" s="16"/>
      <c r="M84" s="16"/>
    </row>
    <row r="85" spans="1:13" ht="23.4" customHeight="1" x14ac:dyDescent="0.3">
      <c r="A85" s="11">
        <v>600092</v>
      </c>
      <c r="B85" s="8">
        <v>6253500763683</v>
      </c>
      <c r="C85" s="3" t="s">
        <v>93</v>
      </c>
      <c r="D85" s="11">
        <v>12</v>
      </c>
      <c r="E85" s="5">
        <v>9.25</v>
      </c>
      <c r="F85" s="5">
        <f t="shared" si="1"/>
        <v>0.77083333333333337</v>
      </c>
      <c r="G85" s="11" t="s">
        <v>102</v>
      </c>
      <c r="H85" s="11" t="s">
        <v>104</v>
      </c>
      <c r="I85" s="16"/>
      <c r="J85" s="16"/>
      <c r="K85" s="16"/>
      <c r="L85" s="16"/>
      <c r="M85" s="16"/>
    </row>
    <row r="86" spans="1:13" ht="23.4" customHeight="1" x14ac:dyDescent="0.3">
      <c r="A86" s="11">
        <v>600089</v>
      </c>
      <c r="B86" s="8">
        <v>6253500763454</v>
      </c>
      <c r="C86" s="3" t="s">
        <v>94</v>
      </c>
      <c r="D86" s="11">
        <v>12</v>
      </c>
      <c r="E86" s="5">
        <v>9.25</v>
      </c>
      <c r="F86" s="5">
        <f t="shared" si="1"/>
        <v>0.77083333333333337</v>
      </c>
      <c r="G86" s="11" t="s">
        <v>102</v>
      </c>
      <c r="H86" s="11" t="s">
        <v>104</v>
      </c>
      <c r="I86" s="16"/>
      <c r="J86" s="16"/>
      <c r="K86" s="16"/>
      <c r="L86" s="16"/>
      <c r="M86" s="16"/>
    </row>
    <row r="87" spans="1:13" ht="23.4" customHeight="1" x14ac:dyDescent="0.3">
      <c r="A87" s="11">
        <v>600088</v>
      </c>
      <c r="B87" s="8">
        <v>6253500763652</v>
      </c>
      <c r="C87" s="3" t="s">
        <v>95</v>
      </c>
      <c r="D87" s="11">
        <v>12</v>
      </c>
      <c r="E87" s="5">
        <v>9.25</v>
      </c>
      <c r="F87" s="5">
        <f t="shared" si="1"/>
        <v>0.77083333333333337</v>
      </c>
      <c r="G87" s="11" t="s">
        <v>102</v>
      </c>
      <c r="H87" s="11" t="s">
        <v>104</v>
      </c>
      <c r="I87" s="16"/>
      <c r="J87" s="16"/>
      <c r="K87" s="16"/>
      <c r="L87" s="16"/>
      <c r="M87" s="16"/>
    </row>
    <row r="88" spans="1:13" ht="23.4" customHeight="1" x14ac:dyDescent="0.3">
      <c r="A88" s="11">
        <v>600037</v>
      </c>
      <c r="B88" s="8">
        <v>6253011995528</v>
      </c>
      <c r="C88" s="3" t="s">
        <v>105</v>
      </c>
      <c r="D88" s="11">
        <v>4</v>
      </c>
      <c r="E88" s="5">
        <v>8.9</v>
      </c>
      <c r="F88" s="5">
        <f>E88/D88</f>
        <v>2.2250000000000001</v>
      </c>
      <c r="G88" s="11" t="s">
        <v>252</v>
      </c>
      <c r="H88" s="11" t="s">
        <v>124</v>
      </c>
      <c r="I88" s="16"/>
      <c r="J88" s="16"/>
      <c r="K88" s="16"/>
      <c r="L88" s="16"/>
      <c r="M88" s="16"/>
    </row>
    <row r="89" spans="1:13" ht="23.4" customHeight="1" x14ac:dyDescent="0.3">
      <c r="A89" s="11">
        <v>600110</v>
      </c>
      <c r="B89" s="8">
        <v>6253500764383</v>
      </c>
      <c r="C89" s="3" t="s">
        <v>51</v>
      </c>
      <c r="D89" s="11">
        <v>4</v>
      </c>
      <c r="E89" s="5">
        <v>12.5</v>
      </c>
      <c r="F89" s="5">
        <f t="shared" si="1"/>
        <v>3.125</v>
      </c>
      <c r="G89" s="11" t="s">
        <v>102</v>
      </c>
      <c r="H89" s="11" t="s">
        <v>104</v>
      </c>
      <c r="I89" s="16"/>
      <c r="J89" s="16"/>
      <c r="K89" s="16"/>
      <c r="L89" s="16"/>
      <c r="M89" s="16"/>
    </row>
    <row r="90" spans="1:13" ht="23.4" customHeight="1" x14ac:dyDescent="0.3">
      <c r="A90" s="11">
        <v>600110</v>
      </c>
      <c r="B90" s="8">
        <v>6253500761696</v>
      </c>
      <c r="C90" s="3" t="s">
        <v>116</v>
      </c>
      <c r="D90" s="11">
        <v>4</v>
      </c>
      <c r="E90" s="5">
        <v>12.5</v>
      </c>
      <c r="F90" s="5">
        <f t="shared" si="1"/>
        <v>3.125</v>
      </c>
      <c r="G90" s="11" t="s">
        <v>119</v>
      </c>
      <c r="H90" s="11" t="s">
        <v>104</v>
      </c>
      <c r="I90" s="16"/>
      <c r="J90" s="16"/>
      <c r="K90" s="16"/>
      <c r="L90" s="16"/>
      <c r="M90" s="16"/>
    </row>
    <row r="91" spans="1:13" ht="23.4" customHeight="1" x14ac:dyDescent="0.3">
      <c r="A91" s="11">
        <v>400024</v>
      </c>
      <c r="B91" s="8">
        <v>6253500670125</v>
      </c>
      <c r="C91" s="3" t="s">
        <v>205</v>
      </c>
      <c r="D91" s="11">
        <v>12</v>
      </c>
      <c r="E91" s="5">
        <v>10</v>
      </c>
      <c r="F91" s="5">
        <f t="shared" si="1"/>
        <v>0.83333333333333337</v>
      </c>
      <c r="G91" s="11" t="s">
        <v>102</v>
      </c>
      <c r="H91" s="11" t="s">
        <v>104</v>
      </c>
      <c r="I91" s="16"/>
      <c r="J91" s="16"/>
      <c r="K91" s="16"/>
      <c r="L91" s="16"/>
      <c r="M91" s="16"/>
    </row>
    <row r="92" spans="1:13" ht="23.4" customHeight="1" x14ac:dyDescent="0.3">
      <c r="A92" s="11">
        <v>400022</v>
      </c>
      <c r="B92" s="8">
        <v>6253500760408</v>
      </c>
      <c r="C92" s="3" t="s">
        <v>107</v>
      </c>
      <c r="D92" s="11">
        <v>12</v>
      </c>
      <c r="E92" s="5">
        <v>15.3</v>
      </c>
      <c r="F92" s="5">
        <f t="shared" si="1"/>
        <v>1.2750000000000001</v>
      </c>
      <c r="G92" s="11" t="s">
        <v>102</v>
      </c>
      <c r="H92" s="11" t="s">
        <v>104</v>
      </c>
      <c r="I92" s="16"/>
      <c r="J92" s="16"/>
      <c r="K92" s="16"/>
      <c r="L92" s="16"/>
      <c r="M92" s="16"/>
    </row>
    <row r="93" spans="1:13" ht="23.4" customHeight="1" x14ac:dyDescent="0.3">
      <c r="A93" s="11">
        <v>200028</v>
      </c>
      <c r="B93" s="8">
        <v>6253500760323</v>
      </c>
      <c r="C93" s="3" t="s">
        <v>106</v>
      </c>
      <c r="D93" s="11">
        <v>12</v>
      </c>
      <c r="E93" s="5">
        <v>15.3</v>
      </c>
      <c r="F93" s="5">
        <f>E93/D93</f>
        <v>1.2750000000000001</v>
      </c>
      <c r="G93" s="11" t="s">
        <v>102</v>
      </c>
      <c r="H93" s="11" t="s">
        <v>104</v>
      </c>
      <c r="I93" s="16"/>
      <c r="J93" s="16"/>
      <c r="K93" s="16"/>
      <c r="L93" s="16"/>
      <c r="M93" s="16"/>
    </row>
    <row r="94" spans="1:13" ht="23.4" customHeight="1" x14ac:dyDescent="0.3">
      <c r="A94" s="11">
        <v>400003</v>
      </c>
      <c r="B94" s="8">
        <v>6253500760378</v>
      </c>
      <c r="C94" s="3" t="s">
        <v>211</v>
      </c>
      <c r="D94" s="11">
        <v>12</v>
      </c>
      <c r="E94" s="5">
        <v>15.3</v>
      </c>
      <c r="F94" s="5">
        <f>E94/D94</f>
        <v>1.2750000000000001</v>
      </c>
      <c r="G94" s="11" t="s">
        <v>102</v>
      </c>
      <c r="H94" s="11" t="s">
        <v>104</v>
      </c>
      <c r="I94" s="16"/>
      <c r="J94" s="16"/>
      <c r="K94" s="16"/>
      <c r="L94" s="16"/>
      <c r="M94" s="16"/>
    </row>
    <row r="95" spans="1:13" ht="23.4" customHeight="1" x14ac:dyDescent="0.3">
      <c r="A95" s="11">
        <v>400020</v>
      </c>
      <c r="B95" s="8">
        <v>621102391127</v>
      </c>
      <c r="C95" s="3" t="s">
        <v>112</v>
      </c>
      <c r="D95" s="11">
        <v>24</v>
      </c>
      <c r="E95" s="5">
        <v>16.8</v>
      </c>
      <c r="F95" s="5">
        <f t="shared" si="1"/>
        <v>0.70000000000000007</v>
      </c>
      <c r="G95" s="11"/>
      <c r="H95" s="11"/>
      <c r="I95" s="16"/>
      <c r="J95" s="16"/>
      <c r="K95" s="16"/>
      <c r="L95" s="16"/>
      <c r="M95" s="16"/>
    </row>
    <row r="96" spans="1:13" ht="23.4" customHeight="1" x14ac:dyDescent="0.3">
      <c r="A96" s="15">
        <v>600034</v>
      </c>
      <c r="B96" s="8">
        <v>6253500761412</v>
      </c>
      <c r="C96" s="3" t="s">
        <v>98</v>
      </c>
      <c r="D96" s="11">
        <v>8</v>
      </c>
      <c r="E96" s="5">
        <v>15.5</v>
      </c>
      <c r="F96" s="5">
        <f t="shared" si="1"/>
        <v>1.9375</v>
      </c>
      <c r="H96" s="11"/>
      <c r="I96" s="16"/>
      <c r="J96" s="16"/>
      <c r="K96" s="16"/>
      <c r="L96" s="16"/>
      <c r="M96" s="16"/>
    </row>
    <row r="97" spans="1:13" ht="23.4" customHeight="1" x14ac:dyDescent="0.3">
      <c r="A97" s="15">
        <v>600129</v>
      </c>
      <c r="B97" s="8">
        <v>6211023913527</v>
      </c>
      <c r="C97" s="3" t="s">
        <v>117</v>
      </c>
      <c r="D97" s="11">
        <v>4</v>
      </c>
      <c r="E97" s="5">
        <v>13.5</v>
      </c>
      <c r="F97" s="5">
        <f t="shared" si="1"/>
        <v>3.375</v>
      </c>
      <c r="G97" s="11"/>
      <c r="H97" s="11"/>
      <c r="I97" s="16"/>
      <c r="J97" s="16"/>
      <c r="K97" s="16"/>
      <c r="L97" s="16"/>
      <c r="M97" s="16"/>
    </row>
    <row r="98" spans="1:13" ht="23.4" customHeight="1" x14ac:dyDescent="0.3">
      <c r="A98" s="15">
        <v>600136</v>
      </c>
      <c r="B98" s="8">
        <v>6253500765533</v>
      </c>
      <c r="C98" s="3" t="s">
        <v>118</v>
      </c>
      <c r="D98" s="11">
        <v>1</v>
      </c>
      <c r="E98" s="5">
        <v>6.25</v>
      </c>
      <c r="F98" s="5">
        <f t="shared" si="1"/>
        <v>6.25</v>
      </c>
      <c r="G98" s="11"/>
      <c r="H98" s="11"/>
      <c r="I98" s="16"/>
      <c r="J98" s="16"/>
      <c r="K98" s="16"/>
      <c r="L98" s="16"/>
      <c r="M98" s="16"/>
    </row>
    <row r="99" spans="1:13" ht="23.4" customHeight="1" x14ac:dyDescent="0.3">
      <c r="A99" s="11">
        <v>600127</v>
      </c>
      <c r="B99" s="8">
        <v>6253500765175</v>
      </c>
      <c r="C99" s="3" t="s">
        <v>99</v>
      </c>
      <c r="D99" s="11">
        <v>1</v>
      </c>
      <c r="E99" s="5">
        <v>10.75</v>
      </c>
      <c r="F99" s="5">
        <f t="shared" si="1"/>
        <v>10.75</v>
      </c>
      <c r="G99" s="11"/>
      <c r="H99" s="11"/>
      <c r="I99" s="16"/>
      <c r="J99" s="16"/>
      <c r="K99" s="16"/>
      <c r="L99" s="16"/>
      <c r="M99" s="16"/>
    </row>
    <row r="100" spans="1:13" ht="23.4" customHeight="1" x14ac:dyDescent="0.3">
      <c r="A100" s="11">
        <v>200027</v>
      </c>
      <c r="B100" s="8">
        <v>6253500765519</v>
      </c>
      <c r="C100" s="3" t="s">
        <v>100</v>
      </c>
      <c r="D100" s="11">
        <v>12</v>
      </c>
      <c r="E100" s="5">
        <v>15.25</v>
      </c>
      <c r="F100" s="5">
        <f t="shared" si="1"/>
        <v>1.2708333333333333</v>
      </c>
      <c r="G100" s="11"/>
      <c r="H100" s="11"/>
      <c r="I100" s="16"/>
      <c r="J100" s="16"/>
      <c r="K100" s="16"/>
      <c r="L100" s="16"/>
      <c r="M100" s="16"/>
    </row>
    <row r="101" spans="1:13" ht="23.4" customHeight="1" x14ac:dyDescent="0.3">
      <c r="A101" s="11">
        <v>200028</v>
      </c>
      <c r="B101" s="8">
        <v>6253500765526</v>
      </c>
      <c r="C101" s="3" t="s">
        <v>101</v>
      </c>
      <c r="D101" s="11">
        <v>12</v>
      </c>
      <c r="E101" s="5">
        <v>15.25</v>
      </c>
      <c r="F101" s="5">
        <f t="shared" si="1"/>
        <v>1.2708333333333333</v>
      </c>
      <c r="G101" s="11"/>
      <c r="H101" s="11"/>
      <c r="I101" s="16"/>
      <c r="J101" s="16"/>
      <c r="K101" s="16"/>
      <c r="L101" s="16"/>
      <c r="M101" s="16"/>
    </row>
  </sheetData>
  <mergeCells count="4">
    <mergeCell ref="A1:B1"/>
    <mergeCell ref="D1:I1"/>
    <mergeCell ref="K1:M1"/>
    <mergeCell ref="K2:M2"/>
  </mergeCells>
  <phoneticPr fontId="3" type="noConversion"/>
  <pageMargins left="0" right="0.75" top="0" bottom="0" header="0.75" footer="0"/>
  <pageSetup scale="55" orientation="portrait" r:id="rId1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870C3-97ED-470E-B514-6E9591CEEF19}">
  <dimension ref="A1:M101"/>
  <sheetViews>
    <sheetView zoomScale="85" zoomScaleNormal="85" workbookViewId="0">
      <selection activeCell="Q12" sqref="Q12:R12"/>
    </sheetView>
  </sheetViews>
  <sheetFormatPr defaultRowHeight="14.4" x14ac:dyDescent="0.3"/>
  <cols>
    <col min="1" max="1" width="11.33203125" style="12" customWidth="1"/>
    <col min="2" max="2" width="17.21875" style="9" customWidth="1"/>
    <col min="3" max="3" width="40.21875" customWidth="1"/>
    <col min="4" max="4" width="7.88671875" style="12" customWidth="1"/>
    <col min="5" max="5" width="8.88671875" style="6"/>
    <col min="6" max="6" width="9.77734375" style="6" customWidth="1"/>
    <col min="7" max="7" width="8.88671875" style="12" customWidth="1"/>
    <col min="8" max="8" width="8.88671875" style="12"/>
    <col min="9" max="9" width="9.21875" customWidth="1"/>
    <col min="10" max="10" width="10" customWidth="1"/>
    <col min="11" max="11" width="0.109375" customWidth="1"/>
    <col min="12" max="12" width="25.33203125" customWidth="1"/>
    <col min="13" max="13" width="3.77734375" hidden="1" customWidth="1"/>
    <col min="14" max="14" width="13.33203125" customWidth="1"/>
    <col min="16" max="16" width="10.109375" customWidth="1"/>
  </cols>
  <sheetData>
    <row r="1" spans="1:13" ht="50.4" customHeight="1" x14ac:dyDescent="0.3">
      <c r="A1" s="34"/>
      <c r="B1" s="35"/>
      <c r="C1" s="21" t="s">
        <v>226</v>
      </c>
      <c r="D1" s="31"/>
      <c r="E1" s="32"/>
      <c r="F1" s="32"/>
      <c r="G1" s="32"/>
      <c r="H1" s="32"/>
      <c r="I1" s="33"/>
      <c r="J1" s="21" t="s">
        <v>225</v>
      </c>
      <c r="K1" s="34"/>
      <c r="L1" s="36"/>
      <c r="M1" s="35"/>
    </row>
    <row r="2" spans="1:13" ht="29.4" customHeight="1" x14ac:dyDescent="0.3">
      <c r="A2" s="18" t="s">
        <v>0</v>
      </c>
      <c r="B2" s="19" t="s">
        <v>1</v>
      </c>
      <c r="C2" s="18" t="s">
        <v>3</v>
      </c>
      <c r="D2" s="18" t="s">
        <v>4</v>
      </c>
      <c r="E2" s="20" t="s">
        <v>5</v>
      </c>
      <c r="F2" s="20" t="s">
        <v>6</v>
      </c>
      <c r="G2" s="18" t="s">
        <v>7</v>
      </c>
      <c r="H2" s="18" t="s">
        <v>8</v>
      </c>
      <c r="I2" s="18" t="s">
        <v>222</v>
      </c>
      <c r="J2" s="18" t="s">
        <v>223</v>
      </c>
      <c r="K2" s="30" t="s">
        <v>227</v>
      </c>
      <c r="L2" s="30"/>
      <c r="M2" s="30"/>
    </row>
    <row r="3" spans="1:13" ht="23.4" customHeight="1" x14ac:dyDescent="0.3">
      <c r="A3" s="11">
        <v>400021</v>
      </c>
      <c r="B3" s="8">
        <v>6253500765090</v>
      </c>
      <c r="C3" s="3" t="s">
        <v>108</v>
      </c>
      <c r="D3" s="11">
        <v>12</v>
      </c>
      <c r="E3" s="5">
        <v>9.25</v>
      </c>
      <c r="F3" s="5">
        <f>E3/D3</f>
        <v>0.77083333333333337</v>
      </c>
      <c r="G3" s="11" t="s">
        <v>102</v>
      </c>
      <c r="H3" s="11" t="s">
        <v>104</v>
      </c>
      <c r="I3" s="16"/>
      <c r="J3" s="16"/>
      <c r="K3" s="16"/>
      <c r="L3" s="16"/>
      <c r="M3" s="16"/>
    </row>
    <row r="4" spans="1:13" ht="23.4" customHeight="1" x14ac:dyDescent="0.3">
      <c r="A4" s="11">
        <v>400024</v>
      </c>
      <c r="B4" s="8">
        <v>6253500765076</v>
      </c>
      <c r="C4" s="3" t="s">
        <v>109</v>
      </c>
      <c r="D4" s="11">
        <v>12</v>
      </c>
      <c r="E4" s="5">
        <v>9.25</v>
      </c>
      <c r="F4" s="5">
        <f t="shared" ref="F4:F62" si="0">E4/D4</f>
        <v>0.77083333333333337</v>
      </c>
      <c r="G4" s="11" t="s">
        <v>102</v>
      </c>
      <c r="H4" s="11" t="s">
        <v>104</v>
      </c>
      <c r="I4" s="16"/>
      <c r="J4" s="16"/>
      <c r="K4" s="16"/>
      <c r="L4" s="16"/>
      <c r="M4" s="16"/>
    </row>
    <row r="5" spans="1:13" ht="23.4" customHeight="1" x14ac:dyDescent="0.3">
      <c r="A5" s="11">
        <v>400022</v>
      </c>
      <c r="B5" s="8">
        <v>6253500765083</v>
      </c>
      <c r="C5" s="3" t="s">
        <v>110</v>
      </c>
      <c r="D5" s="11">
        <v>12</v>
      </c>
      <c r="E5" s="5">
        <v>9.25</v>
      </c>
      <c r="F5" s="5">
        <f t="shared" si="0"/>
        <v>0.77083333333333337</v>
      </c>
      <c r="G5" s="11" t="s">
        <v>102</v>
      </c>
      <c r="H5" s="11" t="s">
        <v>104</v>
      </c>
      <c r="I5" s="16"/>
      <c r="J5" s="16"/>
      <c r="K5" s="16"/>
      <c r="L5" s="16"/>
      <c r="M5" s="16"/>
    </row>
    <row r="6" spans="1:13" ht="23.4" customHeight="1" x14ac:dyDescent="0.3">
      <c r="A6" s="11">
        <v>400020</v>
      </c>
      <c r="B6" s="8">
        <v>6253500765113</v>
      </c>
      <c r="C6" s="3" t="s">
        <v>111</v>
      </c>
      <c r="D6" s="11">
        <v>12</v>
      </c>
      <c r="E6" s="5">
        <v>9.25</v>
      </c>
      <c r="F6" s="5">
        <f t="shared" si="0"/>
        <v>0.77083333333333337</v>
      </c>
      <c r="G6" s="11" t="s">
        <v>102</v>
      </c>
      <c r="H6" s="11" t="s">
        <v>104</v>
      </c>
      <c r="I6" s="16"/>
      <c r="J6" s="16"/>
      <c r="K6" s="16"/>
      <c r="L6" s="16"/>
      <c r="M6" s="16"/>
    </row>
    <row r="7" spans="1:13" ht="23.4" customHeight="1" x14ac:dyDescent="0.3">
      <c r="A7" s="11">
        <v>200001</v>
      </c>
      <c r="B7" s="8">
        <v>6253500760019</v>
      </c>
      <c r="C7" s="3" t="s">
        <v>26</v>
      </c>
      <c r="D7" s="11">
        <v>18</v>
      </c>
      <c r="E7" s="5">
        <v>13.5</v>
      </c>
      <c r="F7" s="5">
        <f t="shared" si="0"/>
        <v>0.75</v>
      </c>
      <c r="G7" s="11" t="s">
        <v>102</v>
      </c>
      <c r="H7" s="11" t="s">
        <v>104</v>
      </c>
      <c r="I7" s="16"/>
      <c r="J7" s="16"/>
      <c r="K7" s="16"/>
      <c r="L7" s="16"/>
      <c r="M7" s="16"/>
    </row>
    <row r="8" spans="1:13" ht="23.4" customHeight="1" x14ac:dyDescent="0.3">
      <c r="A8" s="11">
        <v>200003</v>
      </c>
      <c r="B8" s="8">
        <v>6253500760200</v>
      </c>
      <c r="C8" s="3" t="s">
        <v>27</v>
      </c>
      <c r="D8" s="11">
        <v>12</v>
      </c>
      <c r="E8" s="5">
        <v>9</v>
      </c>
      <c r="F8" s="5">
        <f t="shared" si="0"/>
        <v>0.75</v>
      </c>
      <c r="G8" s="11" t="s">
        <v>102</v>
      </c>
      <c r="H8" s="11" t="s">
        <v>104</v>
      </c>
      <c r="I8" s="16"/>
      <c r="J8" s="16"/>
      <c r="K8" s="16"/>
      <c r="L8" s="16"/>
      <c r="M8" s="16"/>
    </row>
    <row r="9" spans="1:13" ht="23.4" customHeight="1" x14ac:dyDescent="0.3">
      <c r="A9" s="11">
        <v>200002</v>
      </c>
      <c r="B9" s="8">
        <v>6253500760194</v>
      </c>
      <c r="C9" s="3" t="s">
        <v>28</v>
      </c>
      <c r="D9" s="11">
        <v>12</v>
      </c>
      <c r="E9" s="5">
        <v>9</v>
      </c>
      <c r="F9" s="5">
        <f t="shared" si="0"/>
        <v>0.75</v>
      </c>
      <c r="G9" s="11" t="s">
        <v>102</v>
      </c>
      <c r="H9" s="11" t="s">
        <v>104</v>
      </c>
      <c r="I9" s="16"/>
      <c r="J9" s="16"/>
      <c r="K9" s="16"/>
      <c r="L9" s="16"/>
      <c r="M9" s="16"/>
    </row>
    <row r="10" spans="1:13" ht="23.4" customHeight="1" x14ac:dyDescent="0.3">
      <c r="A10" s="11">
        <v>200004</v>
      </c>
      <c r="B10" s="8">
        <v>6253500760026</v>
      </c>
      <c r="C10" s="3" t="s">
        <v>29</v>
      </c>
      <c r="D10" s="11">
        <v>9</v>
      </c>
      <c r="E10" s="5">
        <v>12</v>
      </c>
      <c r="F10" s="5">
        <f t="shared" si="0"/>
        <v>1.3333333333333333</v>
      </c>
      <c r="G10" s="11" t="s">
        <v>102</v>
      </c>
      <c r="H10" s="11" t="s">
        <v>104</v>
      </c>
      <c r="I10" s="16"/>
      <c r="J10" s="16"/>
      <c r="K10" s="16"/>
      <c r="L10" s="16"/>
      <c r="M10" s="16"/>
    </row>
    <row r="11" spans="1:13" ht="23.4" customHeight="1" x14ac:dyDescent="0.3">
      <c r="A11" s="11">
        <v>200006</v>
      </c>
      <c r="B11" s="8">
        <v>6253500760231</v>
      </c>
      <c r="C11" s="3" t="s">
        <v>30</v>
      </c>
      <c r="D11" s="11">
        <v>9</v>
      </c>
      <c r="E11" s="5">
        <v>12</v>
      </c>
      <c r="F11" s="5">
        <f t="shared" si="0"/>
        <v>1.3333333333333333</v>
      </c>
      <c r="G11" s="11" t="s">
        <v>102</v>
      </c>
      <c r="H11" s="11" t="s">
        <v>104</v>
      </c>
      <c r="I11" s="16"/>
      <c r="J11" s="16"/>
      <c r="K11" s="16"/>
      <c r="L11" s="16"/>
      <c r="M11" s="16"/>
    </row>
    <row r="12" spans="1:13" ht="23.4" customHeight="1" x14ac:dyDescent="0.3">
      <c r="A12" s="11">
        <v>200005</v>
      </c>
      <c r="B12" s="8">
        <v>6253500760255</v>
      </c>
      <c r="C12" s="3" t="s">
        <v>31</v>
      </c>
      <c r="D12" s="11">
        <v>9</v>
      </c>
      <c r="E12" s="5">
        <v>12</v>
      </c>
      <c r="F12" s="5">
        <f t="shared" si="0"/>
        <v>1.3333333333333333</v>
      </c>
      <c r="G12" s="11" t="s">
        <v>102</v>
      </c>
      <c r="H12" s="11" t="s">
        <v>104</v>
      </c>
      <c r="I12" s="16"/>
      <c r="J12" s="16"/>
      <c r="K12" s="16"/>
      <c r="L12" s="16"/>
      <c r="M12" s="16"/>
    </row>
    <row r="13" spans="1:13" ht="23.4" customHeight="1" x14ac:dyDescent="0.3">
      <c r="A13" s="11">
        <v>200007</v>
      </c>
      <c r="B13" s="8">
        <v>6253500760033</v>
      </c>
      <c r="C13" s="3" t="s">
        <v>32</v>
      </c>
      <c r="D13" s="11">
        <v>4</v>
      </c>
      <c r="E13" s="5">
        <v>9.35</v>
      </c>
      <c r="F13" s="5">
        <f t="shared" si="0"/>
        <v>2.3374999999999999</v>
      </c>
      <c r="G13" s="11" t="s">
        <v>102</v>
      </c>
      <c r="H13" s="11" t="s">
        <v>104</v>
      </c>
      <c r="I13" s="16"/>
      <c r="J13" s="16"/>
      <c r="K13" s="16"/>
      <c r="L13" s="16"/>
      <c r="M13" s="16"/>
    </row>
    <row r="14" spans="1:13" ht="23.4" customHeight="1" x14ac:dyDescent="0.3">
      <c r="A14" s="11">
        <v>200009</v>
      </c>
      <c r="B14" s="8">
        <v>6253500760248</v>
      </c>
      <c r="C14" s="3" t="s">
        <v>33</v>
      </c>
      <c r="D14" s="11">
        <v>4</v>
      </c>
      <c r="E14" s="5">
        <v>9.35</v>
      </c>
      <c r="F14" s="5">
        <f t="shared" si="0"/>
        <v>2.3374999999999999</v>
      </c>
      <c r="G14" s="11" t="s">
        <v>102</v>
      </c>
      <c r="H14" s="11" t="s">
        <v>104</v>
      </c>
      <c r="I14" s="16"/>
      <c r="J14" s="16"/>
      <c r="K14" s="16"/>
      <c r="L14" s="16"/>
      <c r="M14" s="16"/>
    </row>
    <row r="15" spans="1:13" ht="23.4" customHeight="1" x14ac:dyDescent="0.3">
      <c r="A15" s="11">
        <v>200008</v>
      </c>
      <c r="B15" s="8">
        <v>6253500760224</v>
      </c>
      <c r="C15" s="3" t="s">
        <v>34</v>
      </c>
      <c r="D15" s="11">
        <v>4</v>
      </c>
      <c r="E15" s="5">
        <v>9.35</v>
      </c>
      <c r="F15" s="5">
        <f t="shared" si="0"/>
        <v>2.3374999999999999</v>
      </c>
      <c r="G15" s="11" t="s">
        <v>102</v>
      </c>
      <c r="H15" s="11" t="s">
        <v>104</v>
      </c>
      <c r="I15" s="16"/>
      <c r="J15" s="16"/>
      <c r="K15" s="16"/>
      <c r="L15" s="16"/>
      <c r="M15" s="16"/>
    </row>
    <row r="16" spans="1:13" ht="23.4" customHeight="1" x14ac:dyDescent="0.3">
      <c r="A16" s="11">
        <v>200018</v>
      </c>
      <c r="B16" s="8">
        <v>6253500760712</v>
      </c>
      <c r="C16" s="3" t="s">
        <v>210</v>
      </c>
      <c r="D16" s="11">
        <v>12</v>
      </c>
      <c r="E16" s="5">
        <v>15.3</v>
      </c>
      <c r="F16" s="5">
        <f t="shared" si="0"/>
        <v>1.2750000000000001</v>
      </c>
      <c r="G16" s="11"/>
      <c r="H16" s="11"/>
      <c r="I16" s="16"/>
      <c r="J16" s="16"/>
      <c r="K16" s="16"/>
      <c r="L16" s="16"/>
      <c r="M16" s="16"/>
    </row>
    <row r="17" spans="1:13" ht="23.4" customHeight="1" x14ac:dyDescent="0.3">
      <c r="A17" s="11">
        <v>200011</v>
      </c>
      <c r="B17" s="8">
        <v>6253500760705</v>
      </c>
      <c r="C17" s="3" t="s">
        <v>209</v>
      </c>
      <c r="D17" s="11">
        <v>12</v>
      </c>
      <c r="E17" s="5">
        <v>15.3</v>
      </c>
      <c r="F17" s="5">
        <f t="shared" si="0"/>
        <v>1.2750000000000001</v>
      </c>
      <c r="G17" s="11"/>
      <c r="H17" s="11"/>
      <c r="I17" s="16"/>
      <c r="J17" s="16"/>
      <c r="K17" s="16"/>
      <c r="L17" s="16"/>
      <c r="M17" s="16"/>
    </row>
    <row r="18" spans="1:13" ht="23.4" customHeight="1" x14ac:dyDescent="0.3">
      <c r="A18" s="11">
        <v>130080</v>
      </c>
      <c r="B18" s="8">
        <v>6253500761399</v>
      </c>
      <c r="C18" s="3" t="s">
        <v>35</v>
      </c>
      <c r="D18" s="11">
        <v>12</v>
      </c>
      <c r="E18" s="5">
        <v>3.65</v>
      </c>
      <c r="F18" s="5">
        <f t="shared" si="0"/>
        <v>0.30416666666666664</v>
      </c>
      <c r="G18" s="11" t="s">
        <v>125</v>
      </c>
      <c r="H18" s="11"/>
      <c r="I18" s="16"/>
      <c r="J18" s="16"/>
      <c r="K18" s="16"/>
      <c r="L18" s="16"/>
      <c r="M18" s="16"/>
    </row>
    <row r="19" spans="1:13" ht="23.4" customHeight="1" x14ac:dyDescent="0.3">
      <c r="A19" s="11">
        <v>130151</v>
      </c>
      <c r="B19" s="8">
        <v>6253500765571</v>
      </c>
      <c r="C19" s="3" t="s">
        <v>235</v>
      </c>
      <c r="D19" s="11">
        <v>12</v>
      </c>
      <c r="E19" s="5">
        <v>3.65</v>
      </c>
      <c r="F19" s="5">
        <f t="shared" si="0"/>
        <v>0.30416666666666664</v>
      </c>
      <c r="G19" s="11" t="s">
        <v>125</v>
      </c>
      <c r="H19" s="11"/>
      <c r="I19" s="16"/>
      <c r="J19" s="16"/>
      <c r="K19" s="16"/>
      <c r="L19" s="16"/>
      <c r="M19" s="16"/>
    </row>
    <row r="20" spans="1:13" ht="23.4" customHeight="1" x14ac:dyDescent="0.3">
      <c r="A20" s="11">
        <v>130150</v>
      </c>
      <c r="B20" s="8">
        <v>6253500765564</v>
      </c>
      <c r="C20" s="3" t="s">
        <v>234</v>
      </c>
      <c r="D20" s="11">
        <v>12</v>
      </c>
      <c r="E20" s="5">
        <v>3.65</v>
      </c>
      <c r="F20" s="5">
        <f t="shared" si="0"/>
        <v>0.30416666666666664</v>
      </c>
      <c r="G20" s="11" t="s">
        <v>125</v>
      </c>
      <c r="H20" s="11"/>
      <c r="I20" s="16"/>
      <c r="J20" s="16"/>
      <c r="K20" s="16"/>
      <c r="L20" s="16"/>
      <c r="M20" s="16"/>
    </row>
    <row r="21" spans="1:13" ht="23.4" customHeight="1" x14ac:dyDescent="0.3">
      <c r="A21" s="11">
        <v>130082</v>
      </c>
      <c r="B21" s="8">
        <v>6253500763041</v>
      </c>
      <c r="C21" s="3" t="s">
        <v>36</v>
      </c>
      <c r="D21" s="11">
        <v>4</v>
      </c>
      <c r="E21" s="5">
        <v>5</v>
      </c>
      <c r="F21" s="5">
        <f t="shared" si="0"/>
        <v>1.25</v>
      </c>
      <c r="G21" s="11" t="s">
        <v>121</v>
      </c>
      <c r="H21" s="11" t="s">
        <v>120</v>
      </c>
      <c r="I21" s="16"/>
      <c r="J21" s="16"/>
      <c r="K21" s="16"/>
      <c r="L21" s="16"/>
      <c r="M21" s="16"/>
    </row>
    <row r="22" spans="1:13" ht="23.4" customHeight="1" x14ac:dyDescent="0.3">
      <c r="A22" s="11">
        <v>130155</v>
      </c>
      <c r="B22" s="8">
        <v>6253500765540</v>
      </c>
      <c r="C22" s="3" t="s">
        <v>230</v>
      </c>
      <c r="D22" s="11">
        <v>4</v>
      </c>
      <c r="E22" s="5">
        <v>5</v>
      </c>
      <c r="F22" s="5">
        <f t="shared" si="0"/>
        <v>1.25</v>
      </c>
      <c r="G22" s="11" t="s">
        <v>121</v>
      </c>
      <c r="H22" s="11" t="s">
        <v>120</v>
      </c>
      <c r="I22" s="16"/>
      <c r="J22" s="16"/>
      <c r="K22" s="16"/>
      <c r="L22" s="16"/>
      <c r="M22" s="16"/>
    </row>
    <row r="23" spans="1:13" ht="23.4" customHeight="1" x14ac:dyDescent="0.3">
      <c r="A23" s="11">
        <v>130154</v>
      </c>
      <c r="B23" s="8">
        <v>6253500765557</v>
      </c>
      <c r="C23" s="3" t="s">
        <v>233</v>
      </c>
      <c r="D23" s="11">
        <v>4</v>
      </c>
      <c r="E23" s="5">
        <v>5</v>
      </c>
      <c r="F23" s="5">
        <f t="shared" si="0"/>
        <v>1.25</v>
      </c>
      <c r="G23" s="11" t="s">
        <v>121</v>
      </c>
      <c r="H23" s="11" t="s">
        <v>120</v>
      </c>
      <c r="I23" s="16"/>
      <c r="J23" s="16"/>
      <c r="K23" s="16"/>
      <c r="L23" s="16"/>
      <c r="M23" s="16"/>
    </row>
    <row r="24" spans="1:13" ht="23.4" customHeight="1" x14ac:dyDescent="0.3">
      <c r="A24" s="11">
        <v>500003</v>
      </c>
      <c r="B24" s="8">
        <v>6253500760095</v>
      </c>
      <c r="C24" s="3" t="s">
        <v>49</v>
      </c>
      <c r="D24" s="11">
        <v>12</v>
      </c>
      <c r="E24" s="5">
        <v>12.75</v>
      </c>
      <c r="F24" s="5">
        <f t="shared" si="0"/>
        <v>1.0625</v>
      </c>
      <c r="G24" s="11"/>
      <c r="H24" s="11"/>
      <c r="I24" s="16"/>
      <c r="J24" s="16"/>
      <c r="K24" s="16"/>
      <c r="L24" s="16"/>
      <c r="M24" s="16"/>
    </row>
    <row r="25" spans="1:13" ht="23.4" customHeight="1" x14ac:dyDescent="0.3">
      <c r="A25" s="11">
        <v>300002</v>
      </c>
      <c r="B25" s="8">
        <v>6253500760064</v>
      </c>
      <c r="C25" s="3" t="s">
        <v>37</v>
      </c>
      <c r="D25" s="11">
        <v>12</v>
      </c>
      <c r="E25" s="5">
        <v>11</v>
      </c>
      <c r="F25" s="5">
        <f t="shared" si="0"/>
        <v>0.91666666666666663</v>
      </c>
      <c r="G25" s="11" t="s">
        <v>102</v>
      </c>
      <c r="H25" s="11" t="s">
        <v>104</v>
      </c>
      <c r="I25" s="16"/>
      <c r="J25" s="16"/>
      <c r="K25" s="16"/>
      <c r="L25" s="16"/>
      <c r="M25" s="16"/>
    </row>
    <row r="26" spans="1:13" ht="23.4" customHeight="1" x14ac:dyDescent="0.3">
      <c r="A26" s="11">
        <v>300005</v>
      </c>
      <c r="B26" s="8">
        <v>6253500761313</v>
      </c>
      <c r="C26" s="3" t="s">
        <v>38</v>
      </c>
      <c r="D26" s="11">
        <v>12</v>
      </c>
      <c r="E26" s="5">
        <v>11</v>
      </c>
      <c r="F26" s="5">
        <f t="shared" si="0"/>
        <v>0.91666666666666663</v>
      </c>
      <c r="G26" s="11" t="s">
        <v>102</v>
      </c>
      <c r="H26" s="11" t="s">
        <v>104</v>
      </c>
      <c r="I26" s="16"/>
      <c r="J26" s="16"/>
      <c r="K26" s="16"/>
      <c r="L26" s="16"/>
      <c r="M26" s="16"/>
    </row>
    <row r="27" spans="1:13" ht="23.4" customHeight="1" x14ac:dyDescent="0.3">
      <c r="A27" s="11">
        <v>300004</v>
      </c>
      <c r="B27" s="8">
        <v>6253500760187</v>
      </c>
      <c r="C27" s="3" t="s">
        <v>39</v>
      </c>
      <c r="D27" s="11">
        <v>12</v>
      </c>
      <c r="E27" s="5">
        <v>11</v>
      </c>
      <c r="F27" s="5">
        <f t="shared" si="0"/>
        <v>0.91666666666666663</v>
      </c>
      <c r="G27" s="11" t="s">
        <v>102</v>
      </c>
      <c r="H27" s="11" t="s">
        <v>104</v>
      </c>
      <c r="I27" s="16"/>
      <c r="J27" s="16"/>
      <c r="K27" s="16"/>
      <c r="L27" s="16"/>
      <c r="M27" s="16"/>
    </row>
    <row r="28" spans="1:13" ht="23.4" customHeight="1" x14ac:dyDescent="0.3">
      <c r="A28" s="11">
        <v>300010</v>
      </c>
      <c r="B28" s="8">
        <v>6253500765489</v>
      </c>
      <c r="C28" s="3" t="s">
        <v>40</v>
      </c>
      <c r="D28" s="11">
        <v>12</v>
      </c>
      <c r="E28" s="5">
        <v>11</v>
      </c>
      <c r="F28" s="5">
        <f t="shared" si="0"/>
        <v>0.91666666666666663</v>
      </c>
      <c r="G28" s="11" t="s">
        <v>102</v>
      </c>
      <c r="H28" s="11" t="s">
        <v>104</v>
      </c>
      <c r="I28" s="16"/>
      <c r="J28" s="16"/>
      <c r="K28" s="16"/>
      <c r="L28" s="16"/>
      <c r="M28" s="16"/>
    </row>
    <row r="29" spans="1:13" ht="23.4" customHeight="1" x14ac:dyDescent="0.3">
      <c r="A29" s="11">
        <v>300001</v>
      </c>
      <c r="B29" s="8">
        <v>6253500760057</v>
      </c>
      <c r="C29" s="3" t="s">
        <v>41</v>
      </c>
      <c r="D29" s="11">
        <v>12</v>
      </c>
      <c r="E29" s="5">
        <v>11</v>
      </c>
      <c r="F29" s="5">
        <f t="shared" si="0"/>
        <v>0.91666666666666663</v>
      </c>
      <c r="G29" s="11" t="s">
        <v>102</v>
      </c>
      <c r="H29" s="11" t="s">
        <v>104</v>
      </c>
      <c r="I29" s="16"/>
      <c r="J29" s="16"/>
      <c r="K29" s="16"/>
      <c r="L29" s="16"/>
      <c r="M29" s="16"/>
    </row>
    <row r="30" spans="1:13" ht="23.4" customHeight="1" x14ac:dyDescent="0.3">
      <c r="A30" s="11">
        <v>300021</v>
      </c>
      <c r="B30" s="8">
        <v>6253500761511</v>
      </c>
      <c r="C30" s="3" t="s">
        <v>42</v>
      </c>
      <c r="D30" s="11">
        <v>6</v>
      </c>
      <c r="E30" s="5">
        <v>10.5</v>
      </c>
      <c r="F30" s="5">
        <f t="shared" si="0"/>
        <v>1.75</v>
      </c>
      <c r="G30" s="11" t="s">
        <v>102</v>
      </c>
      <c r="H30" s="11" t="s">
        <v>104</v>
      </c>
      <c r="I30" s="16"/>
      <c r="J30" s="16"/>
      <c r="K30" s="16"/>
      <c r="L30" s="16"/>
      <c r="M30" s="16"/>
    </row>
    <row r="31" spans="1:13" ht="23.4" customHeight="1" x14ac:dyDescent="0.3">
      <c r="A31" s="11">
        <v>300008</v>
      </c>
      <c r="B31" s="8">
        <v>6253500761498</v>
      </c>
      <c r="C31" s="3" t="s">
        <v>43</v>
      </c>
      <c r="D31" s="11">
        <v>6</v>
      </c>
      <c r="E31" s="5">
        <v>10.5</v>
      </c>
      <c r="F31" s="5">
        <f t="shared" si="0"/>
        <v>1.75</v>
      </c>
      <c r="G31" s="11" t="s">
        <v>102</v>
      </c>
      <c r="H31" s="11" t="s">
        <v>104</v>
      </c>
      <c r="I31" s="16"/>
      <c r="J31" s="16"/>
      <c r="K31" s="16"/>
      <c r="L31" s="16"/>
      <c r="M31" s="16"/>
    </row>
    <row r="32" spans="1:13" ht="23.4" customHeight="1" x14ac:dyDescent="0.3">
      <c r="A32" s="11">
        <v>300007</v>
      </c>
      <c r="B32" s="8">
        <v>6253500761467</v>
      </c>
      <c r="C32" s="3" t="s">
        <v>44</v>
      </c>
      <c r="D32" s="11">
        <v>6</v>
      </c>
      <c r="E32" s="5">
        <v>10.5</v>
      </c>
      <c r="F32" s="5">
        <f t="shared" si="0"/>
        <v>1.75</v>
      </c>
      <c r="G32" s="11" t="s">
        <v>102</v>
      </c>
      <c r="H32" s="11" t="s">
        <v>104</v>
      </c>
      <c r="I32" s="16"/>
      <c r="J32" s="16"/>
      <c r="K32" s="16"/>
      <c r="L32" s="16"/>
      <c r="M32" s="16"/>
    </row>
    <row r="33" spans="1:13" ht="23.4" customHeight="1" x14ac:dyDescent="0.3">
      <c r="A33" s="11">
        <v>300012</v>
      </c>
      <c r="B33" s="8">
        <v>6253500761504</v>
      </c>
      <c r="C33" s="3" t="s">
        <v>45</v>
      </c>
      <c r="D33" s="11">
        <v>6</v>
      </c>
      <c r="E33" s="5">
        <v>10.5</v>
      </c>
      <c r="F33" s="5">
        <f t="shared" si="0"/>
        <v>1.75</v>
      </c>
      <c r="G33" s="11" t="s">
        <v>102</v>
      </c>
      <c r="H33" s="11" t="s">
        <v>104</v>
      </c>
      <c r="I33" s="16"/>
      <c r="J33" s="16"/>
      <c r="K33" s="16"/>
      <c r="L33" s="16"/>
      <c r="M33" s="16"/>
    </row>
    <row r="34" spans="1:13" ht="23.4" customHeight="1" x14ac:dyDescent="0.3">
      <c r="A34" s="11">
        <v>300009</v>
      </c>
      <c r="B34" s="8">
        <v>6253500761474</v>
      </c>
      <c r="C34" s="3" t="s">
        <v>46</v>
      </c>
      <c r="D34" s="11">
        <v>6</v>
      </c>
      <c r="E34" s="5">
        <v>10.5</v>
      </c>
      <c r="F34" s="5">
        <f t="shared" si="0"/>
        <v>1.75</v>
      </c>
      <c r="G34" s="11" t="s">
        <v>102</v>
      </c>
      <c r="H34" s="11" t="s">
        <v>104</v>
      </c>
      <c r="I34" s="16"/>
      <c r="J34" s="16"/>
      <c r="K34" s="16"/>
      <c r="L34" s="16"/>
      <c r="M34" s="16"/>
    </row>
    <row r="35" spans="1:13" ht="23.4" customHeight="1" x14ac:dyDescent="0.3">
      <c r="A35" s="11">
        <v>300006</v>
      </c>
      <c r="B35" s="8">
        <v>6253500761450</v>
      </c>
      <c r="C35" s="3" t="s">
        <v>47</v>
      </c>
      <c r="D35" s="11">
        <v>6</v>
      </c>
      <c r="E35" s="5">
        <v>10.5</v>
      </c>
      <c r="F35" s="5">
        <f t="shared" si="0"/>
        <v>1.75</v>
      </c>
      <c r="G35" s="11" t="s">
        <v>102</v>
      </c>
      <c r="H35" s="11" t="s">
        <v>104</v>
      </c>
      <c r="I35" s="16"/>
      <c r="J35" s="16"/>
      <c r="K35" s="16"/>
      <c r="L35" s="16"/>
      <c r="M35" s="16"/>
    </row>
    <row r="36" spans="1:13" ht="23.4" customHeight="1" x14ac:dyDescent="0.3">
      <c r="A36" s="11">
        <v>300011</v>
      </c>
      <c r="B36" s="8">
        <v>6253500761481</v>
      </c>
      <c r="C36" s="3" t="s">
        <v>48</v>
      </c>
      <c r="D36" s="11">
        <v>6</v>
      </c>
      <c r="E36" s="5">
        <v>10.5</v>
      </c>
      <c r="F36" s="5">
        <f t="shared" si="0"/>
        <v>1.75</v>
      </c>
      <c r="G36" s="11" t="s">
        <v>102</v>
      </c>
      <c r="H36" s="11" t="s">
        <v>104</v>
      </c>
      <c r="I36" s="16"/>
      <c r="J36" s="16"/>
      <c r="K36" s="16"/>
      <c r="L36" s="16"/>
      <c r="M36" s="16"/>
    </row>
    <row r="37" spans="1:13" ht="23.4" customHeight="1" x14ac:dyDescent="0.3">
      <c r="A37" s="11">
        <v>300024</v>
      </c>
      <c r="B37" s="8">
        <v>6253500763607</v>
      </c>
      <c r="C37" s="3" t="s">
        <v>236</v>
      </c>
      <c r="D37" s="11">
        <v>4</v>
      </c>
      <c r="E37" s="5">
        <v>14.25</v>
      </c>
      <c r="F37" s="5">
        <f t="shared" si="0"/>
        <v>3.5625</v>
      </c>
      <c r="G37" s="11" t="s">
        <v>102</v>
      </c>
      <c r="H37" s="11"/>
      <c r="I37" s="16"/>
      <c r="J37" s="16"/>
      <c r="K37" s="16"/>
      <c r="L37" s="16"/>
      <c r="M37" s="16"/>
    </row>
    <row r="38" spans="1:13" ht="23.4" customHeight="1" x14ac:dyDescent="0.3">
      <c r="A38" s="11">
        <v>500001</v>
      </c>
      <c r="B38" s="8">
        <v>6253500760132</v>
      </c>
      <c r="C38" s="3" t="s">
        <v>50</v>
      </c>
      <c r="D38" s="11">
        <v>12</v>
      </c>
      <c r="E38" s="5">
        <v>15.3</v>
      </c>
      <c r="F38" s="5">
        <f t="shared" si="0"/>
        <v>1.2750000000000001</v>
      </c>
      <c r="G38" s="11"/>
      <c r="H38" s="11"/>
      <c r="I38" s="16"/>
      <c r="J38" s="16"/>
      <c r="K38" s="16"/>
      <c r="L38" s="16"/>
      <c r="M38" s="16"/>
    </row>
    <row r="39" spans="1:13" ht="23.4" customHeight="1" x14ac:dyDescent="0.3">
      <c r="A39" s="11">
        <v>600045</v>
      </c>
      <c r="B39" s="8">
        <v>6253500762679</v>
      </c>
      <c r="C39" s="3" t="s">
        <v>52</v>
      </c>
      <c r="D39" s="11">
        <v>12</v>
      </c>
      <c r="E39" s="5">
        <v>11</v>
      </c>
      <c r="F39" s="5">
        <f t="shared" si="0"/>
        <v>0.91666666666666663</v>
      </c>
      <c r="G39" s="11" t="s">
        <v>102</v>
      </c>
      <c r="H39" s="11" t="s">
        <v>104</v>
      </c>
      <c r="I39" s="16"/>
      <c r="J39" s="16"/>
      <c r="K39" s="16"/>
      <c r="L39" s="16"/>
      <c r="M39" s="16"/>
    </row>
    <row r="40" spans="1:13" ht="23.4" customHeight="1" x14ac:dyDescent="0.3">
      <c r="A40" s="11">
        <v>600043</v>
      </c>
      <c r="B40" s="8">
        <v>6253500762662</v>
      </c>
      <c r="C40" s="3" t="s">
        <v>53</v>
      </c>
      <c r="D40" s="11">
        <v>12</v>
      </c>
      <c r="E40" s="5">
        <v>11</v>
      </c>
      <c r="F40" s="5">
        <f t="shared" si="0"/>
        <v>0.91666666666666663</v>
      </c>
      <c r="G40" s="11" t="s">
        <v>102</v>
      </c>
      <c r="H40" s="11" t="s">
        <v>104</v>
      </c>
      <c r="I40" s="16"/>
      <c r="J40" s="16"/>
      <c r="K40" s="16"/>
      <c r="L40" s="16"/>
      <c r="M40" s="16"/>
    </row>
    <row r="41" spans="1:13" ht="23.4" customHeight="1" x14ac:dyDescent="0.3">
      <c r="A41" s="11">
        <v>600044</v>
      </c>
      <c r="B41" s="8">
        <v>6253500762655</v>
      </c>
      <c r="C41" s="3" t="s">
        <v>54</v>
      </c>
      <c r="D41" s="11">
        <v>12</v>
      </c>
      <c r="E41" s="5">
        <v>11</v>
      </c>
      <c r="F41" s="5">
        <f t="shared" si="0"/>
        <v>0.91666666666666663</v>
      </c>
      <c r="G41" s="11" t="s">
        <v>102</v>
      </c>
      <c r="H41" s="11" t="s">
        <v>104</v>
      </c>
      <c r="I41" s="16"/>
      <c r="J41" s="16"/>
      <c r="K41" s="16"/>
      <c r="L41" s="16"/>
      <c r="M41" s="16"/>
    </row>
    <row r="42" spans="1:13" ht="23.4" customHeight="1" x14ac:dyDescent="0.3">
      <c r="A42" s="11">
        <v>600031</v>
      </c>
      <c r="B42" s="8">
        <v>6253500762648</v>
      </c>
      <c r="C42" s="3" t="s">
        <v>55</v>
      </c>
      <c r="D42" s="11">
        <v>6</v>
      </c>
      <c r="E42" s="5">
        <v>10.5</v>
      </c>
      <c r="F42" s="5">
        <f t="shared" si="0"/>
        <v>1.75</v>
      </c>
      <c r="G42" s="11" t="s">
        <v>102</v>
      </c>
      <c r="H42" s="11" t="s">
        <v>104</v>
      </c>
      <c r="I42" s="16"/>
      <c r="J42" s="16"/>
      <c r="K42" s="16"/>
      <c r="L42" s="16"/>
      <c r="M42" s="16"/>
    </row>
    <row r="43" spans="1:13" ht="23.4" customHeight="1" x14ac:dyDescent="0.3">
      <c r="A43" s="11">
        <v>600032</v>
      </c>
      <c r="B43" s="8">
        <v>6253500761429</v>
      </c>
      <c r="C43" s="3" t="s">
        <v>56</v>
      </c>
      <c r="D43" s="11">
        <v>6</v>
      </c>
      <c r="E43" s="5">
        <v>10.5</v>
      </c>
      <c r="F43" s="5">
        <f t="shared" si="0"/>
        <v>1.75</v>
      </c>
      <c r="G43" s="11" t="s">
        <v>102</v>
      </c>
      <c r="H43" s="11" t="s">
        <v>104</v>
      </c>
      <c r="I43" s="16"/>
      <c r="J43" s="16"/>
      <c r="K43" s="16"/>
      <c r="L43" s="16"/>
      <c r="M43" s="16"/>
    </row>
    <row r="44" spans="1:13" ht="23.4" customHeight="1" x14ac:dyDescent="0.3">
      <c r="A44" s="11">
        <v>600033</v>
      </c>
      <c r="B44" s="8">
        <v>6253500762914</v>
      </c>
      <c r="C44" s="3" t="s">
        <v>57</v>
      </c>
      <c r="D44" s="11">
        <v>6</v>
      </c>
      <c r="E44" s="5">
        <v>10.5</v>
      </c>
      <c r="F44" s="5">
        <f t="shared" si="0"/>
        <v>1.75</v>
      </c>
      <c r="G44" s="11" t="s">
        <v>102</v>
      </c>
      <c r="H44" s="11" t="s">
        <v>104</v>
      </c>
      <c r="I44" s="16"/>
      <c r="J44" s="16"/>
      <c r="K44" s="16"/>
      <c r="L44" s="16"/>
      <c r="M44" s="16"/>
    </row>
    <row r="45" spans="1:13" ht="23.4" customHeight="1" x14ac:dyDescent="0.3">
      <c r="A45" s="11">
        <v>600019</v>
      </c>
      <c r="B45" s="8">
        <v>6253500760736</v>
      </c>
      <c r="C45" s="3" t="s">
        <v>58</v>
      </c>
      <c r="D45" s="11">
        <v>12</v>
      </c>
      <c r="E45" s="5">
        <v>11.5</v>
      </c>
      <c r="F45" s="5">
        <f t="shared" si="0"/>
        <v>0.95833333333333337</v>
      </c>
      <c r="G45" s="11" t="s">
        <v>123</v>
      </c>
      <c r="H45" s="11"/>
      <c r="I45" s="16"/>
      <c r="J45" s="16"/>
      <c r="K45" s="16"/>
      <c r="L45" s="16"/>
      <c r="M45" s="16"/>
    </row>
    <row r="46" spans="1:13" ht="23.4" customHeight="1" x14ac:dyDescent="0.3">
      <c r="A46" s="11">
        <v>600023</v>
      </c>
      <c r="B46" s="8">
        <v>6253500763034</v>
      </c>
      <c r="C46" s="3" t="s">
        <v>59</v>
      </c>
      <c r="D46" s="11">
        <v>12</v>
      </c>
      <c r="E46" s="5">
        <v>11.5</v>
      </c>
      <c r="F46" s="5">
        <f t="shared" si="0"/>
        <v>0.95833333333333337</v>
      </c>
      <c r="G46" s="11" t="s">
        <v>123</v>
      </c>
      <c r="H46" s="11"/>
      <c r="I46" s="16"/>
      <c r="J46" s="16"/>
      <c r="K46" s="16"/>
      <c r="L46" s="16"/>
      <c r="M46" s="16"/>
    </row>
    <row r="47" spans="1:13" ht="23.4" customHeight="1" x14ac:dyDescent="0.3">
      <c r="A47" s="11">
        <v>600020</v>
      </c>
      <c r="B47" s="8">
        <v>6253500761184</v>
      </c>
      <c r="C47" s="3" t="s">
        <v>60</v>
      </c>
      <c r="D47" s="11">
        <v>12</v>
      </c>
      <c r="E47" s="5">
        <v>11.5</v>
      </c>
      <c r="F47" s="5">
        <f t="shared" si="0"/>
        <v>0.95833333333333337</v>
      </c>
      <c r="G47" s="11" t="s">
        <v>123</v>
      </c>
      <c r="H47" s="11"/>
      <c r="I47" s="16"/>
      <c r="J47" s="16"/>
      <c r="K47" s="16"/>
      <c r="L47" s="16"/>
      <c r="M47" s="16"/>
    </row>
    <row r="48" spans="1:13" ht="23.4" customHeight="1" x14ac:dyDescent="0.3">
      <c r="A48" s="11">
        <v>600029</v>
      </c>
      <c r="B48" s="8">
        <v>6253500761191</v>
      </c>
      <c r="C48" s="3" t="s">
        <v>114</v>
      </c>
      <c r="D48" s="11">
        <v>6</v>
      </c>
      <c r="E48" s="5">
        <v>11</v>
      </c>
      <c r="F48" s="5">
        <f t="shared" si="0"/>
        <v>1.8333333333333333</v>
      </c>
      <c r="G48" s="11" t="s">
        <v>122</v>
      </c>
      <c r="H48" s="11"/>
      <c r="I48" s="16"/>
      <c r="J48" s="16"/>
      <c r="K48" s="16"/>
      <c r="L48" s="16"/>
      <c r="M48" s="16"/>
    </row>
    <row r="49" spans="1:13" ht="23.4" customHeight="1" x14ac:dyDescent="0.3">
      <c r="A49" s="11">
        <v>600030</v>
      </c>
      <c r="B49" s="8">
        <v>6253500763195</v>
      </c>
      <c r="C49" s="3" t="s">
        <v>115</v>
      </c>
      <c r="D49" s="11">
        <v>6</v>
      </c>
      <c r="E49" s="5">
        <v>11</v>
      </c>
      <c r="F49" s="5">
        <f t="shared" si="0"/>
        <v>1.8333333333333333</v>
      </c>
      <c r="G49" s="11" t="s">
        <v>122</v>
      </c>
      <c r="H49" s="11"/>
      <c r="I49" s="16"/>
      <c r="J49" s="16"/>
      <c r="K49" s="16"/>
      <c r="L49" s="16"/>
      <c r="M49" s="16"/>
    </row>
    <row r="50" spans="1:13" ht="23.4" customHeight="1" x14ac:dyDescent="0.3">
      <c r="A50" s="11">
        <v>600025</v>
      </c>
      <c r="B50" s="8">
        <v>6253500761221</v>
      </c>
      <c r="C50" s="3" t="s">
        <v>113</v>
      </c>
      <c r="D50" s="11">
        <v>6</v>
      </c>
      <c r="E50" s="5">
        <v>11</v>
      </c>
      <c r="F50" s="5">
        <f t="shared" si="0"/>
        <v>1.8333333333333333</v>
      </c>
      <c r="G50" s="11" t="s">
        <v>122</v>
      </c>
      <c r="H50" s="11"/>
      <c r="I50" s="16"/>
      <c r="J50" s="16"/>
      <c r="K50" s="16"/>
      <c r="L50" s="16"/>
      <c r="M50" s="16"/>
    </row>
    <row r="51" spans="1:13" ht="23.4" customHeight="1" x14ac:dyDescent="0.3">
      <c r="A51" s="11">
        <v>600018</v>
      </c>
      <c r="B51" s="8">
        <v>6253500760156</v>
      </c>
      <c r="C51" s="3" t="s">
        <v>61</v>
      </c>
      <c r="D51" s="11">
        <v>12</v>
      </c>
      <c r="E51" s="5">
        <v>5.56</v>
      </c>
      <c r="F51" s="5">
        <f t="shared" si="0"/>
        <v>0.46333333333333332</v>
      </c>
      <c r="G51" s="11" t="s">
        <v>102</v>
      </c>
      <c r="H51" s="11" t="s">
        <v>104</v>
      </c>
      <c r="I51" s="16"/>
      <c r="J51" s="16"/>
      <c r="K51" s="16"/>
      <c r="L51" s="16"/>
      <c r="M51" s="16"/>
    </row>
    <row r="52" spans="1:13" ht="23.4" customHeight="1" x14ac:dyDescent="0.3">
      <c r="A52" s="11">
        <v>600040</v>
      </c>
      <c r="B52" s="8">
        <v>6253011995245</v>
      </c>
      <c r="C52" s="3" t="s">
        <v>62</v>
      </c>
      <c r="D52" s="11">
        <v>12</v>
      </c>
      <c r="E52" s="5">
        <v>9.9</v>
      </c>
      <c r="F52" s="5">
        <f t="shared" si="0"/>
        <v>0.82500000000000007</v>
      </c>
      <c r="G52" s="11" t="s">
        <v>102</v>
      </c>
      <c r="H52" s="11" t="s">
        <v>104</v>
      </c>
      <c r="I52" s="16"/>
      <c r="J52" s="16"/>
      <c r="K52" s="16"/>
      <c r="L52" s="16"/>
      <c r="M52" s="16"/>
    </row>
    <row r="53" spans="1:13" ht="23.4" customHeight="1" x14ac:dyDescent="0.3">
      <c r="A53" s="11">
        <v>600132</v>
      </c>
      <c r="B53" s="8">
        <v>6253500764949</v>
      </c>
      <c r="C53" s="3" t="s">
        <v>63</v>
      </c>
      <c r="D53" s="11">
        <v>12</v>
      </c>
      <c r="E53" s="5">
        <v>11</v>
      </c>
      <c r="F53" s="5">
        <f t="shared" si="0"/>
        <v>0.91666666666666663</v>
      </c>
      <c r="G53" s="11" t="s">
        <v>102</v>
      </c>
      <c r="H53" s="11" t="s">
        <v>104</v>
      </c>
      <c r="I53" s="16"/>
      <c r="J53" s="16"/>
      <c r="K53" s="16"/>
      <c r="L53" s="16"/>
      <c r="M53" s="16"/>
    </row>
    <row r="54" spans="1:13" ht="23.4" customHeight="1" x14ac:dyDescent="0.3">
      <c r="A54" s="11">
        <v>600130</v>
      </c>
      <c r="B54" s="8">
        <v>6253500764963</v>
      </c>
      <c r="C54" s="3" t="s">
        <v>64</v>
      </c>
      <c r="D54" s="11">
        <v>12</v>
      </c>
      <c r="E54" s="5">
        <v>11</v>
      </c>
      <c r="F54" s="5">
        <f t="shared" si="0"/>
        <v>0.91666666666666663</v>
      </c>
      <c r="G54" s="11" t="s">
        <v>102</v>
      </c>
      <c r="H54" s="11" t="s">
        <v>104</v>
      </c>
      <c r="I54" s="16"/>
      <c r="J54" s="16"/>
      <c r="K54" s="16"/>
      <c r="L54" s="16"/>
      <c r="M54" s="16"/>
    </row>
    <row r="55" spans="1:13" ht="23.4" customHeight="1" x14ac:dyDescent="0.3">
      <c r="A55" s="11">
        <v>600134</v>
      </c>
      <c r="B55" s="8">
        <v>6253500764956</v>
      </c>
      <c r="C55" s="3" t="s">
        <v>65</v>
      </c>
      <c r="D55" s="11">
        <v>12</v>
      </c>
      <c r="E55" s="5">
        <v>11</v>
      </c>
      <c r="F55" s="5">
        <f t="shared" si="0"/>
        <v>0.91666666666666663</v>
      </c>
      <c r="G55" s="11" t="s">
        <v>102</v>
      </c>
      <c r="H55" s="11" t="s">
        <v>104</v>
      </c>
      <c r="I55" s="16"/>
      <c r="J55" s="16"/>
      <c r="K55" s="16"/>
      <c r="L55" s="16"/>
      <c r="M55" s="16"/>
    </row>
    <row r="56" spans="1:13" ht="23.4" customHeight="1" x14ac:dyDescent="0.3">
      <c r="A56" s="11">
        <v>600131</v>
      </c>
      <c r="B56" s="8">
        <v>6253500764932</v>
      </c>
      <c r="C56" s="3" t="s">
        <v>66</v>
      </c>
      <c r="D56" s="11">
        <v>12</v>
      </c>
      <c r="E56" s="5">
        <v>11</v>
      </c>
      <c r="F56" s="5">
        <f t="shared" si="0"/>
        <v>0.91666666666666663</v>
      </c>
      <c r="G56" s="11" t="s">
        <v>102</v>
      </c>
      <c r="H56" s="11" t="s">
        <v>104</v>
      </c>
      <c r="I56" s="16"/>
      <c r="J56" s="16"/>
      <c r="K56" s="16"/>
      <c r="L56" s="16"/>
      <c r="M56" s="16"/>
    </row>
    <row r="57" spans="1:13" ht="23.4" customHeight="1" x14ac:dyDescent="0.3">
      <c r="A57" s="11">
        <v>600133</v>
      </c>
      <c r="B57" s="8">
        <v>6253500764925</v>
      </c>
      <c r="C57" s="3" t="s">
        <v>67</v>
      </c>
      <c r="D57" s="11">
        <v>12</v>
      </c>
      <c r="E57" s="5">
        <v>11</v>
      </c>
      <c r="F57" s="5">
        <f t="shared" si="0"/>
        <v>0.91666666666666663</v>
      </c>
      <c r="G57" s="11" t="s">
        <v>102</v>
      </c>
      <c r="H57" s="11" t="s">
        <v>104</v>
      </c>
      <c r="I57" s="16"/>
      <c r="J57" s="16"/>
      <c r="K57" s="16"/>
      <c r="L57" s="16"/>
      <c r="M57" s="16"/>
    </row>
    <row r="58" spans="1:13" ht="23.4" customHeight="1" x14ac:dyDescent="0.3">
      <c r="A58" s="11">
        <v>600140</v>
      </c>
      <c r="B58" s="8">
        <v>6253500765052</v>
      </c>
      <c r="C58" s="3" t="s">
        <v>68</v>
      </c>
      <c r="D58" s="11">
        <v>6</v>
      </c>
      <c r="E58" s="5">
        <v>9.5</v>
      </c>
      <c r="F58" s="5">
        <f t="shared" si="0"/>
        <v>1.5833333333333333</v>
      </c>
      <c r="G58" s="11" t="s">
        <v>102</v>
      </c>
      <c r="H58" s="11" t="s">
        <v>104</v>
      </c>
      <c r="I58" s="16"/>
      <c r="J58" s="16"/>
      <c r="K58" s="16"/>
      <c r="L58" s="16"/>
      <c r="M58" s="16"/>
    </row>
    <row r="59" spans="1:13" ht="23.4" customHeight="1" x14ac:dyDescent="0.3">
      <c r="A59" s="11">
        <v>600140</v>
      </c>
      <c r="B59" s="8">
        <v>6253500765038</v>
      </c>
      <c r="C59" s="3" t="s">
        <v>69</v>
      </c>
      <c r="D59" s="11">
        <v>6</v>
      </c>
      <c r="E59" s="5">
        <v>9.5</v>
      </c>
      <c r="F59" s="5">
        <f t="shared" si="0"/>
        <v>1.5833333333333333</v>
      </c>
      <c r="G59" s="11" t="s">
        <v>102</v>
      </c>
      <c r="H59" s="11" t="s">
        <v>104</v>
      </c>
      <c r="I59" s="16"/>
      <c r="J59" s="16"/>
      <c r="K59" s="16"/>
      <c r="L59" s="16"/>
      <c r="M59" s="16"/>
    </row>
    <row r="60" spans="1:13" ht="23.4" customHeight="1" x14ac:dyDescent="0.3">
      <c r="A60" s="11">
        <v>600140</v>
      </c>
      <c r="B60" s="8">
        <v>6253500765069</v>
      </c>
      <c r="C60" s="3" t="s">
        <v>70</v>
      </c>
      <c r="D60" s="11">
        <v>6</v>
      </c>
      <c r="E60" s="5">
        <v>9.5</v>
      </c>
      <c r="F60" s="5">
        <f t="shared" si="0"/>
        <v>1.5833333333333333</v>
      </c>
      <c r="G60" s="11" t="s">
        <v>102</v>
      </c>
      <c r="H60" s="11" t="s">
        <v>104</v>
      </c>
      <c r="I60" s="16"/>
      <c r="J60" s="16"/>
      <c r="K60" s="16"/>
      <c r="L60" s="16"/>
      <c r="M60" s="16"/>
    </row>
    <row r="61" spans="1:13" ht="23.4" customHeight="1" x14ac:dyDescent="0.3">
      <c r="A61" s="11">
        <v>600140</v>
      </c>
      <c r="B61" s="8">
        <v>6253500765045</v>
      </c>
      <c r="C61" s="3" t="s">
        <v>71</v>
      </c>
      <c r="D61" s="11">
        <v>6</v>
      </c>
      <c r="E61" s="5">
        <v>9.5</v>
      </c>
      <c r="F61" s="5">
        <f t="shared" si="0"/>
        <v>1.5833333333333333</v>
      </c>
      <c r="G61" s="11" t="s">
        <v>102</v>
      </c>
      <c r="H61" s="11" t="s">
        <v>104</v>
      </c>
      <c r="I61" s="16"/>
      <c r="J61" s="16"/>
      <c r="K61" s="16"/>
      <c r="L61" s="16"/>
      <c r="M61" s="16"/>
    </row>
    <row r="62" spans="1:13" ht="23.4" customHeight="1" x14ac:dyDescent="0.3">
      <c r="A62" s="11">
        <v>600065</v>
      </c>
      <c r="B62" s="8">
        <v>6253500765021</v>
      </c>
      <c r="C62" s="3" t="s">
        <v>72</v>
      </c>
      <c r="D62" s="11">
        <v>6</v>
      </c>
      <c r="E62" s="5">
        <v>9.5</v>
      </c>
      <c r="F62" s="5">
        <f t="shared" si="0"/>
        <v>1.5833333333333333</v>
      </c>
      <c r="G62" s="11" t="s">
        <v>102</v>
      </c>
      <c r="H62" s="11" t="s">
        <v>104</v>
      </c>
      <c r="I62" s="16"/>
      <c r="J62" s="16"/>
      <c r="K62" s="16"/>
      <c r="L62" s="16"/>
      <c r="M62" s="16"/>
    </row>
    <row r="63" spans="1:13" ht="23.4" customHeight="1" x14ac:dyDescent="0.3">
      <c r="A63" s="11">
        <v>600065</v>
      </c>
      <c r="B63" s="8">
        <v>6253500763256</v>
      </c>
      <c r="C63" s="3" t="s">
        <v>73</v>
      </c>
      <c r="D63" s="11">
        <v>4</v>
      </c>
      <c r="E63" s="5">
        <v>8.25</v>
      </c>
      <c r="F63" s="5">
        <f t="shared" ref="F63:F101" si="1">E63/D63</f>
        <v>2.0625</v>
      </c>
      <c r="G63" s="11" t="s">
        <v>102</v>
      </c>
      <c r="H63" s="11" t="s">
        <v>104</v>
      </c>
      <c r="I63" s="16"/>
      <c r="J63" s="16"/>
      <c r="K63" s="16"/>
      <c r="L63" s="16"/>
      <c r="M63" s="16"/>
    </row>
    <row r="64" spans="1:13" ht="23.4" customHeight="1" x14ac:dyDescent="0.3">
      <c r="A64" s="11">
        <v>600073</v>
      </c>
      <c r="B64" s="8">
        <v>6253500763270</v>
      </c>
      <c r="C64" s="3" t="s">
        <v>74</v>
      </c>
      <c r="D64" s="11">
        <v>4</v>
      </c>
      <c r="E64" s="5">
        <v>8.25</v>
      </c>
      <c r="F64" s="5">
        <f t="shared" si="1"/>
        <v>2.0625</v>
      </c>
      <c r="G64" s="11" t="s">
        <v>102</v>
      </c>
      <c r="H64" s="11" t="s">
        <v>104</v>
      </c>
      <c r="I64" s="16"/>
      <c r="J64" s="16"/>
      <c r="K64" s="16"/>
      <c r="L64" s="16"/>
      <c r="M64" s="16"/>
    </row>
    <row r="65" spans="1:13" ht="23.4" customHeight="1" x14ac:dyDescent="0.3">
      <c r="A65" s="11">
        <v>600064</v>
      </c>
      <c r="B65" s="8">
        <v>6253500763249</v>
      </c>
      <c r="C65" s="3" t="s">
        <v>75</v>
      </c>
      <c r="D65" s="11">
        <v>4</v>
      </c>
      <c r="E65" s="5">
        <v>8.25</v>
      </c>
      <c r="F65" s="5">
        <f t="shared" si="1"/>
        <v>2.0625</v>
      </c>
      <c r="G65" s="11" t="s">
        <v>102</v>
      </c>
      <c r="H65" s="11" t="s">
        <v>104</v>
      </c>
      <c r="I65" s="16"/>
      <c r="J65" s="16"/>
      <c r="K65" s="16"/>
      <c r="L65" s="16"/>
      <c r="M65" s="16"/>
    </row>
    <row r="66" spans="1:13" ht="23.4" customHeight="1" x14ac:dyDescent="0.3">
      <c r="A66" s="11">
        <v>600069</v>
      </c>
      <c r="B66" s="8">
        <v>6253500763300</v>
      </c>
      <c r="C66" s="3" t="s">
        <v>76</v>
      </c>
      <c r="D66" s="11">
        <v>4</v>
      </c>
      <c r="E66" s="5">
        <v>8.25</v>
      </c>
      <c r="F66" s="5">
        <f t="shared" si="1"/>
        <v>2.0625</v>
      </c>
      <c r="G66" s="11" t="s">
        <v>102</v>
      </c>
      <c r="H66" s="11" t="s">
        <v>104</v>
      </c>
      <c r="I66" s="16"/>
      <c r="J66" s="16"/>
      <c r="K66" s="16"/>
      <c r="L66" s="16"/>
      <c r="M66" s="16"/>
    </row>
    <row r="67" spans="1:13" ht="23.4" customHeight="1" x14ac:dyDescent="0.3">
      <c r="A67" s="11">
        <v>600067</v>
      </c>
      <c r="B67" s="8">
        <v>6253500763294</v>
      </c>
      <c r="C67" s="3" t="s">
        <v>77</v>
      </c>
      <c r="D67" s="11">
        <v>4</v>
      </c>
      <c r="E67" s="5">
        <v>8.25</v>
      </c>
      <c r="F67" s="5">
        <f t="shared" si="1"/>
        <v>2.0625</v>
      </c>
      <c r="G67" s="11" t="s">
        <v>102</v>
      </c>
      <c r="H67" s="11" t="s">
        <v>104</v>
      </c>
      <c r="I67" s="16"/>
      <c r="J67" s="16"/>
      <c r="K67" s="16"/>
      <c r="L67" s="16"/>
      <c r="M67" s="16"/>
    </row>
    <row r="68" spans="1:13" ht="23.4" customHeight="1" x14ac:dyDescent="0.3">
      <c r="A68" s="11">
        <v>600068</v>
      </c>
      <c r="B68" s="8">
        <v>6253500763324</v>
      </c>
      <c r="C68" s="3" t="s">
        <v>78</v>
      </c>
      <c r="D68" s="11">
        <v>4</v>
      </c>
      <c r="E68" s="5">
        <v>8.25</v>
      </c>
      <c r="F68" s="5">
        <f t="shared" si="1"/>
        <v>2.0625</v>
      </c>
      <c r="G68" s="11" t="s">
        <v>102</v>
      </c>
      <c r="H68" s="11" t="s">
        <v>104</v>
      </c>
      <c r="I68" s="16"/>
      <c r="J68" s="16"/>
      <c r="K68" s="16"/>
      <c r="L68" s="16"/>
      <c r="M68" s="16"/>
    </row>
    <row r="69" spans="1:13" ht="23.4" customHeight="1" x14ac:dyDescent="0.3">
      <c r="A69" s="11">
        <v>600072</v>
      </c>
      <c r="B69" s="8">
        <v>6253500763263</v>
      </c>
      <c r="C69" s="3" t="s">
        <v>79</v>
      </c>
      <c r="D69" s="11">
        <v>4</v>
      </c>
      <c r="E69" s="5">
        <v>8.25</v>
      </c>
      <c r="F69" s="5">
        <f t="shared" si="1"/>
        <v>2.0625</v>
      </c>
      <c r="G69" s="11" t="s">
        <v>102</v>
      </c>
      <c r="H69" s="11" t="s">
        <v>104</v>
      </c>
      <c r="I69" s="16"/>
      <c r="J69" s="16"/>
      <c r="K69" s="16"/>
      <c r="L69" s="16"/>
      <c r="M69" s="16"/>
    </row>
    <row r="70" spans="1:13" ht="23.4" customHeight="1" x14ac:dyDescent="0.3">
      <c r="A70" s="11">
        <v>600070</v>
      </c>
      <c r="B70" s="8">
        <v>6253500763317</v>
      </c>
      <c r="C70" s="3" t="s">
        <v>80</v>
      </c>
      <c r="D70" s="11">
        <v>4</v>
      </c>
      <c r="E70" s="5">
        <v>8.25</v>
      </c>
      <c r="F70" s="5">
        <f t="shared" si="1"/>
        <v>2.0625</v>
      </c>
      <c r="G70" s="11" t="s">
        <v>102</v>
      </c>
      <c r="H70" s="11" t="s">
        <v>104</v>
      </c>
      <c r="I70" s="16"/>
      <c r="J70" s="16"/>
      <c r="K70" s="16"/>
      <c r="L70" s="16"/>
      <c r="M70" s="16"/>
    </row>
    <row r="71" spans="1:13" ht="23.4" customHeight="1" x14ac:dyDescent="0.3">
      <c r="A71" s="11">
        <v>600071</v>
      </c>
      <c r="B71" s="8">
        <v>6253500763331</v>
      </c>
      <c r="C71" s="3" t="s">
        <v>81</v>
      </c>
      <c r="D71" s="11">
        <v>4</v>
      </c>
      <c r="E71" s="5">
        <v>8.25</v>
      </c>
      <c r="F71" s="5">
        <f t="shared" si="1"/>
        <v>2.0625</v>
      </c>
      <c r="G71" s="11" t="s">
        <v>102</v>
      </c>
      <c r="H71" s="11" t="s">
        <v>104</v>
      </c>
      <c r="I71" s="16"/>
      <c r="J71" s="16"/>
      <c r="K71" s="16"/>
      <c r="L71" s="16"/>
      <c r="M71" s="16"/>
    </row>
    <row r="72" spans="1:13" ht="23.4" customHeight="1" x14ac:dyDescent="0.3">
      <c r="A72" s="11">
        <v>600066</v>
      </c>
      <c r="B72" s="8">
        <v>6253500763287</v>
      </c>
      <c r="C72" s="3" t="s">
        <v>82</v>
      </c>
      <c r="D72" s="11">
        <v>4</v>
      </c>
      <c r="E72" s="5">
        <v>8.25</v>
      </c>
      <c r="F72" s="5">
        <f t="shared" si="1"/>
        <v>2.0625</v>
      </c>
      <c r="G72" s="11" t="s">
        <v>102</v>
      </c>
      <c r="H72" s="11" t="s">
        <v>104</v>
      </c>
      <c r="I72" s="16"/>
      <c r="J72" s="16"/>
      <c r="K72" s="16"/>
      <c r="L72" s="16"/>
      <c r="M72" s="16"/>
    </row>
    <row r="73" spans="1:13" ht="23.4" customHeight="1" x14ac:dyDescent="0.3">
      <c r="A73" s="11">
        <v>400001</v>
      </c>
      <c r="B73" s="8">
        <v>6253500760361</v>
      </c>
      <c r="C73" s="3" t="s">
        <v>96</v>
      </c>
      <c r="D73" s="11">
        <v>12</v>
      </c>
      <c r="E73" s="5">
        <v>8.5</v>
      </c>
      <c r="F73" s="5">
        <f t="shared" si="1"/>
        <v>0.70833333333333337</v>
      </c>
      <c r="G73" s="11" t="s">
        <v>102</v>
      </c>
      <c r="H73" s="11" t="s">
        <v>104</v>
      </c>
      <c r="I73" s="16"/>
      <c r="J73" s="16"/>
      <c r="K73" s="16"/>
      <c r="L73" s="16"/>
      <c r="M73" s="16"/>
    </row>
    <row r="74" spans="1:13" ht="23.4" customHeight="1" x14ac:dyDescent="0.3">
      <c r="A74" s="11">
        <v>400002</v>
      </c>
      <c r="B74" s="8">
        <v>6253500760279</v>
      </c>
      <c r="C74" s="3" t="s">
        <v>97</v>
      </c>
      <c r="D74" s="11">
        <v>12</v>
      </c>
      <c r="E74" s="5">
        <v>8.5</v>
      </c>
      <c r="F74" s="5">
        <f t="shared" si="1"/>
        <v>0.70833333333333337</v>
      </c>
      <c r="G74" s="11" t="s">
        <v>102</v>
      </c>
      <c r="H74" s="11" t="s">
        <v>104</v>
      </c>
      <c r="I74" s="16"/>
      <c r="J74" s="16"/>
      <c r="K74" s="16"/>
      <c r="L74" s="16"/>
      <c r="M74" s="16"/>
    </row>
    <row r="75" spans="1:13" ht="23.4" customHeight="1" x14ac:dyDescent="0.3">
      <c r="A75" s="11">
        <v>600060</v>
      </c>
      <c r="B75" s="8">
        <v>6253500761320</v>
      </c>
      <c r="C75" s="3" t="s">
        <v>83</v>
      </c>
      <c r="D75" s="11">
        <v>12</v>
      </c>
      <c r="E75" s="5">
        <v>9.25</v>
      </c>
      <c r="F75" s="5">
        <f t="shared" si="1"/>
        <v>0.77083333333333337</v>
      </c>
      <c r="G75" s="11" t="s">
        <v>102</v>
      </c>
      <c r="H75" s="11" t="s">
        <v>104</v>
      </c>
      <c r="I75" s="16"/>
      <c r="J75" s="16"/>
      <c r="K75" s="16"/>
      <c r="L75" s="16"/>
      <c r="M75" s="16"/>
    </row>
    <row r="76" spans="1:13" ht="23.4" customHeight="1" x14ac:dyDescent="0.3">
      <c r="A76" s="11">
        <v>600059</v>
      </c>
      <c r="B76" s="8">
        <v>6253500763010</v>
      </c>
      <c r="C76" s="3" t="s">
        <v>84</v>
      </c>
      <c r="D76" s="11">
        <v>12</v>
      </c>
      <c r="E76" s="5">
        <v>9.25</v>
      </c>
      <c r="F76" s="5">
        <f t="shared" si="1"/>
        <v>0.77083333333333337</v>
      </c>
      <c r="G76" s="11" t="s">
        <v>102</v>
      </c>
      <c r="H76" s="11" t="s">
        <v>104</v>
      </c>
      <c r="I76" s="16"/>
      <c r="J76" s="16"/>
      <c r="K76" s="16"/>
      <c r="L76" s="16"/>
      <c r="M76" s="16"/>
    </row>
    <row r="77" spans="1:13" ht="23.4" customHeight="1" x14ac:dyDescent="0.3">
      <c r="A77" s="11">
        <v>600057</v>
      </c>
      <c r="B77" s="8">
        <v>6253500761306</v>
      </c>
      <c r="C77" s="3" t="s">
        <v>85</v>
      </c>
      <c r="D77" s="11">
        <v>12</v>
      </c>
      <c r="E77" s="5">
        <v>9.25</v>
      </c>
      <c r="F77" s="5">
        <f t="shared" si="1"/>
        <v>0.77083333333333337</v>
      </c>
      <c r="G77" s="11" t="s">
        <v>102</v>
      </c>
      <c r="H77" s="11" t="s">
        <v>104</v>
      </c>
      <c r="I77" s="16"/>
      <c r="J77" s="16"/>
      <c r="K77" s="16"/>
      <c r="L77" s="16"/>
      <c r="M77" s="16"/>
    </row>
    <row r="78" spans="1:13" ht="23.4" customHeight="1" x14ac:dyDescent="0.3">
      <c r="A78" s="11">
        <v>600015</v>
      </c>
      <c r="B78" s="8">
        <v>6253500760910</v>
      </c>
      <c r="C78" s="3" t="s">
        <v>86</v>
      </c>
      <c r="D78" s="11">
        <v>12</v>
      </c>
      <c r="E78" s="5">
        <v>9.25</v>
      </c>
      <c r="F78" s="5">
        <f t="shared" si="1"/>
        <v>0.77083333333333337</v>
      </c>
      <c r="G78" s="11" t="s">
        <v>102</v>
      </c>
      <c r="H78" s="11" t="s">
        <v>104</v>
      </c>
      <c r="I78" s="16"/>
      <c r="J78" s="16"/>
      <c r="K78" s="16"/>
      <c r="L78" s="16"/>
      <c r="M78" s="16"/>
    </row>
    <row r="79" spans="1:13" ht="23.4" customHeight="1" x14ac:dyDescent="0.3">
      <c r="A79" s="11">
        <v>600014</v>
      </c>
      <c r="B79" s="8">
        <v>6253500760903</v>
      </c>
      <c r="C79" s="3" t="s">
        <v>87</v>
      </c>
      <c r="D79" s="11">
        <v>12</v>
      </c>
      <c r="E79" s="5">
        <v>9.25</v>
      </c>
      <c r="F79" s="5">
        <f t="shared" si="1"/>
        <v>0.77083333333333337</v>
      </c>
      <c r="G79" s="11" t="s">
        <v>102</v>
      </c>
      <c r="H79" s="11" t="s">
        <v>104</v>
      </c>
      <c r="I79" s="16"/>
      <c r="J79" s="16"/>
      <c r="K79" s="16"/>
      <c r="L79" s="16"/>
      <c r="M79" s="16"/>
    </row>
    <row r="80" spans="1:13" ht="23.4" customHeight="1" x14ac:dyDescent="0.3">
      <c r="A80" s="11">
        <v>600058</v>
      </c>
      <c r="B80" s="8">
        <v>6253500761337</v>
      </c>
      <c r="C80" s="3" t="s">
        <v>88</v>
      </c>
      <c r="D80" s="11">
        <v>12</v>
      </c>
      <c r="E80" s="5">
        <v>9.25</v>
      </c>
      <c r="F80" s="5">
        <f t="shared" si="1"/>
        <v>0.77083333333333337</v>
      </c>
      <c r="G80" s="11" t="s">
        <v>102</v>
      </c>
      <c r="H80" s="11" t="s">
        <v>104</v>
      </c>
      <c r="I80" s="16"/>
      <c r="J80" s="16"/>
      <c r="K80" s="16"/>
      <c r="L80" s="16"/>
      <c r="M80" s="16"/>
    </row>
    <row r="81" spans="1:13" ht="23.4" customHeight="1" x14ac:dyDescent="0.3">
      <c r="A81" s="11">
        <v>600061</v>
      </c>
      <c r="B81" s="8">
        <v>6253011995474</v>
      </c>
      <c r="C81" s="3" t="s">
        <v>89</v>
      </c>
      <c r="D81" s="11">
        <v>12</v>
      </c>
      <c r="E81" s="5">
        <v>9.25</v>
      </c>
      <c r="F81" s="5">
        <f t="shared" si="1"/>
        <v>0.77083333333333337</v>
      </c>
      <c r="G81" s="11" t="s">
        <v>102</v>
      </c>
      <c r="H81" s="11" t="s">
        <v>104</v>
      </c>
      <c r="I81" s="16"/>
      <c r="J81" s="16"/>
      <c r="K81" s="16"/>
      <c r="L81" s="16"/>
      <c r="M81" s="16"/>
    </row>
    <row r="82" spans="1:13" ht="23.4" customHeight="1" x14ac:dyDescent="0.3">
      <c r="A82" s="11">
        <v>600009</v>
      </c>
      <c r="B82" s="8">
        <v>6253011995436</v>
      </c>
      <c r="C82" s="3" t="s">
        <v>90</v>
      </c>
      <c r="D82" s="11">
        <v>12</v>
      </c>
      <c r="E82" s="5">
        <v>9.25</v>
      </c>
      <c r="F82" s="5">
        <f t="shared" si="1"/>
        <v>0.77083333333333337</v>
      </c>
      <c r="G82" s="11" t="s">
        <v>102</v>
      </c>
      <c r="H82" s="11" t="s">
        <v>104</v>
      </c>
      <c r="I82" s="16"/>
      <c r="J82" s="16"/>
      <c r="K82" s="16"/>
      <c r="L82" s="16"/>
      <c r="M82" s="16"/>
    </row>
    <row r="83" spans="1:13" ht="23.4" customHeight="1" x14ac:dyDescent="0.3">
      <c r="A83" s="11">
        <v>600056</v>
      </c>
      <c r="B83" s="8">
        <v>6253011995450</v>
      </c>
      <c r="C83" s="3" t="s">
        <v>91</v>
      </c>
      <c r="D83" s="11">
        <v>12</v>
      </c>
      <c r="E83" s="5">
        <v>9.25</v>
      </c>
      <c r="F83" s="5">
        <f t="shared" si="1"/>
        <v>0.77083333333333337</v>
      </c>
      <c r="G83" s="11" t="s">
        <v>102</v>
      </c>
      <c r="H83" s="11" t="s">
        <v>104</v>
      </c>
      <c r="I83" s="16"/>
      <c r="J83" s="16"/>
      <c r="K83" s="16"/>
      <c r="L83" s="16"/>
      <c r="M83" s="16"/>
    </row>
    <row r="84" spans="1:13" ht="23.4" customHeight="1" x14ac:dyDescent="0.3">
      <c r="A84" s="14">
        <v>600011</v>
      </c>
      <c r="B84" s="8">
        <v>6253011995467</v>
      </c>
      <c r="C84" s="3" t="s">
        <v>92</v>
      </c>
      <c r="D84" s="11">
        <v>12</v>
      </c>
      <c r="E84" s="5">
        <v>9.25</v>
      </c>
      <c r="F84" s="5">
        <f t="shared" si="1"/>
        <v>0.77083333333333337</v>
      </c>
      <c r="G84" s="11" t="s">
        <v>102</v>
      </c>
      <c r="H84" s="11" t="s">
        <v>104</v>
      </c>
      <c r="I84" s="16"/>
      <c r="J84" s="16"/>
      <c r="K84" s="16"/>
      <c r="L84" s="16"/>
      <c r="M84" s="16"/>
    </row>
    <row r="85" spans="1:13" ht="23.4" customHeight="1" x14ac:dyDescent="0.3">
      <c r="A85" s="11">
        <v>600092</v>
      </c>
      <c r="B85" s="8">
        <v>6253500763683</v>
      </c>
      <c r="C85" s="3" t="s">
        <v>93</v>
      </c>
      <c r="D85" s="11">
        <v>12</v>
      </c>
      <c r="E85" s="5">
        <v>9.25</v>
      </c>
      <c r="F85" s="5">
        <f t="shared" si="1"/>
        <v>0.77083333333333337</v>
      </c>
      <c r="G85" s="11" t="s">
        <v>102</v>
      </c>
      <c r="H85" s="11" t="s">
        <v>104</v>
      </c>
      <c r="I85" s="16"/>
      <c r="J85" s="16"/>
      <c r="K85" s="16"/>
      <c r="L85" s="16"/>
      <c r="M85" s="16"/>
    </row>
    <row r="86" spans="1:13" ht="23.4" customHeight="1" x14ac:dyDescent="0.3">
      <c r="A86" s="11">
        <v>600089</v>
      </c>
      <c r="B86" s="8">
        <v>6253500763454</v>
      </c>
      <c r="C86" s="3" t="s">
        <v>94</v>
      </c>
      <c r="D86" s="11">
        <v>12</v>
      </c>
      <c r="E86" s="5">
        <v>9.25</v>
      </c>
      <c r="F86" s="5">
        <f t="shared" si="1"/>
        <v>0.77083333333333337</v>
      </c>
      <c r="G86" s="11" t="s">
        <v>102</v>
      </c>
      <c r="H86" s="11" t="s">
        <v>104</v>
      </c>
      <c r="I86" s="16"/>
      <c r="J86" s="16"/>
      <c r="K86" s="16"/>
      <c r="L86" s="16"/>
      <c r="M86" s="16"/>
    </row>
    <row r="87" spans="1:13" ht="23.4" customHeight="1" x14ac:dyDescent="0.3">
      <c r="A87" s="11">
        <v>600088</v>
      </c>
      <c r="B87" s="8">
        <v>6253500763652</v>
      </c>
      <c r="C87" s="3" t="s">
        <v>95</v>
      </c>
      <c r="D87" s="11">
        <v>12</v>
      </c>
      <c r="E87" s="5">
        <v>9.25</v>
      </c>
      <c r="F87" s="5">
        <f t="shared" si="1"/>
        <v>0.77083333333333337</v>
      </c>
      <c r="G87" s="11" t="s">
        <v>102</v>
      </c>
      <c r="H87" s="11" t="s">
        <v>104</v>
      </c>
      <c r="I87" s="16"/>
      <c r="J87" s="16"/>
      <c r="K87" s="16"/>
      <c r="L87" s="16"/>
      <c r="M87" s="16"/>
    </row>
    <row r="88" spans="1:13" ht="23.4" customHeight="1" x14ac:dyDescent="0.3">
      <c r="A88" s="11">
        <v>600037</v>
      </c>
      <c r="B88" s="8">
        <v>6253011995528</v>
      </c>
      <c r="C88" s="3" t="s">
        <v>105</v>
      </c>
      <c r="D88" s="11">
        <v>4</v>
      </c>
      <c r="E88" s="5">
        <v>8.9</v>
      </c>
      <c r="F88" s="5">
        <f>E88/D88</f>
        <v>2.2250000000000001</v>
      </c>
      <c r="G88" s="11" t="s">
        <v>252</v>
      </c>
      <c r="H88" s="11" t="s">
        <v>124</v>
      </c>
      <c r="I88" s="16"/>
      <c r="J88" s="16"/>
      <c r="K88" s="16"/>
      <c r="L88" s="16"/>
      <c r="M88" s="16"/>
    </row>
    <row r="89" spans="1:13" ht="23.4" customHeight="1" x14ac:dyDescent="0.3">
      <c r="A89" s="11">
        <v>600110</v>
      </c>
      <c r="B89" s="8">
        <v>6253500764383</v>
      </c>
      <c r="C89" s="3" t="s">
        <v>51</v>
      </c>
      <c r="D89" s="11">
        <v>4</v>
      </c>
      <c r="E89" s="5">
        <v>12.5</v>
      </c>
      <c r="F89" s="5">
        <f t="shared" si="1"/>
        <v>3.125</v>
      </c>
      <c r="G89" s="11" t="s">
        <v>102</v>
      </c>
      <c r="H89" s="11" t="s">
        <v>104</v>
      </c>
      <c r="I89" s="16"/>
      <c r="J89" s="16"/>
      <c r="K89" s="16"/>
      <c r="L89" s="16"/>
      <c r="M89" s="16"/>
    </row>
    <row r="90" spans="1:13" ht="23.4" customHeight="1" x14ac:dyDescent="0.3">
      <c r="A90" s="11">
        <v>600110</v>
      </c>
      <c r="B90" s="8">
        <v>6253500761696</v>
      </c>
      <c r="C90" s="3" t="s">
        <v>116</v>
      </c>
      <c r="D90" s="11">
        <v>4</v>
      </c>
      <c r="E90" s="5">
        <v>12.5</v>
      </c>
      <c r="F90" s="5">
        <f t="shared" si="1"/>
        <v>3.125</v>
      </c>
      <c r="G90" s="11" t="s">
        <v>119</v>
      </c>
      <c r="H90" s="11" t="s">
        <v>104</v>
      </c>
      <c r="I90" s="16"/>
      <c r="J90" s="16"/>
      <c r="K90" s="16"/>
      <c r="L90" s="16"/>
      <c r="M90" s="16"/>
    </row>
    <row r="91" spans="1:13" ht="23.4" customHeight="1" x14ac:dyDescent="0.3">
      <c r="A91" s="11">
        <v>400024</v>
      </c>
      <c r="B91" s="8">
        <v>6253500670125</v>
      </c>
      <c r="C91" s="3" t="s">
        <v>205</v>
      </c>
      <c r="D91" s="11">
        <v>12</v>
      </c>
      <c r="E91" s="5">
        <v>10</v>
      </c>
      <c r="F91" s="5">
        <f t="shared" si="1"/>
        <v>0.83333333333333337</v>
      </c>
      <c r="G91" s="11" t="s">
        <v>102</v>
      </c>
      <c r="H91" s="11" t="s">
        <v>104</v>
      </c>
      <c r="I91" s="16"/>
      <c r="J91" s="16"/>
      <c r="K91" s="16"/>
      <c r="L91" s="16"/>
      <c r="M91" s="16"/>
    </row>
    <row r="92" spans="1:13" ht="23.4" customHeight="1" x14ac:dyDescent="0.3">
      <c r="A92" s="11">
        <v>400022</v>
      </c>
      <c r="B92" s="8">
        <v>6253500760408</v>
      </c>
      <c r="C92" s="3" t="s">
        <v>107</v>
      </c>
      <c r="D92" s="11">
        <v>12</v>
      </c>
      <c r="E92" s="5">
        <v>15.3</v>
      </c>
      <c r="F92" s="5">
        <f t="shared" si="1"/>
        <v>1.2750000000000001</v>
      </c>
      <c r="G92" s="11" t="s">
        <v>102</v>
      </c>
      <c r="H92" s="11" t="s">
        <v>104</v>
      </c>
      <c r="I92" s="16"/>
      <c r="J92" s="16"/>
      <c r="K92" s="16"/>
      <c r="L92" s="16"/>
      <c r="M92" s="16"/>
    </row>
    <row r="93" spans="1:13" ht="23.4" customHeight="1" x14ac:dyDescent="0.3">
      <c r="A93" s="11">
        <v>200028</v>
      </c>
      <c r="B93" s="8">
        <v>6253500760323</v>
      </c>
      <c r="C93" s="3" t="s">
        <v>106</v>
      </c>
      <c r="D93" s="11">
        <v>12</v>
      </c>
      <c r="E93" s="5">
        <v>15.3</v>
      </c>
      <c r="F93" s="5">
        <f>E93/D93</f>
        <v>1.2750000000000001</v>
      </c>
      <c r="G93" s="11" t="s">
        <v>102</v>
      </c>
      <c r="H93" s="11" t="s">
        <v>104</v>
      </c>
      <c r="I93" s="16"/>
      <c r="J93" s="16"/>
      <c r="K93" s="16"/>
      <c r="L93" s="16"/>
      <c r="M93" s="16"/>
    </row>
    <row r="94" spans="1:13" ht="23.4" customHeight="1" x14ac:dyDescent="0.3">
      <c r="A94" s="11">
        <v>400003</v>
      </c>
      <c r="B94" s="8">
        <v>6253500760378</v>
      </c>
      <c r="C94" s="3" t="s">
        <v>211</v>
      </c>
      <c r="D94" s="11">
        <v>12</v>
      </c>
      <c r="E94" s="5">
        <v>15.3</v>
      </c>
      <c r="F94" s="5">
        <f>E94/D94</f>
        <v>1.2750000000000001</v>
      </c>
      <c r="G94" s="11" t="s">
        <v>102</v>
      </c>
      <c r="H94" s="11" t="s">
        <v>104</v>
      </c>
      <c r="I94" s="16"/>
      <c r="J94" s="16"/>
      <c r="K94" s="16"/>
      <c r="L94" s="16"/>
      <c r="M94" s="16"/>
    </row>
    <row r="95" spans="1:13" ht="23.4" customHeight="1" x14ac:dyDescent="0.3">
      <c r="A95" s="11">
        <v>400020</v>
      </c>
      <c r="B95" s="8">
        <v>621102391127</v>
      </c>
      <c r="C95" s="3" t="s">
        <v>112</v>
      </c>
      <c r="D95" s="11">
        <v>24</v>
      </c>
      <c r="E95" s="5">
        <v>16.8</v>
      </c>
      <c r="F95" s="5">
        <f t="shared" si="1"/>
        <v>0.70000000000000007</v>
      </c>
      <c r="G95" s="11"/>
      <c r="H95" s="11"/>
      <c r="I95" s="16"/>
      <c r="J95" s="16"/>
      <c r="K95" s="16"/>
      <c r="L95" s="16"/>
      <c r="M95" s="16"/>
    </row>
    <row r="96" spans="1:13" ht="23.4" customHeight="1" x14ac:dyDescent="0.3">
      <c r="A96" s="15">
        <v>600034</v>
      </c>
      <c r="B96" s="8">
        <v>6253500761412</v>
      </c>
      <c r="C96" s="3" t="s">
        <v>98</v>
      </c>
      <c r="D96" s="11">
        <v>8</v>
      </c>
      <c r="E96" s="5">
        <v>15.5</v>
      </c>
      <c r="F96" s="5">
        <f t="shared" si="1"/>
        <v>1.9375</v>
      </c>
      <c r="H96" s="11"/>
      <c r="I96" s="16"/>
      <c r="J96" s="16"/>
      <c r="K96" s="16"/>
      <c r="L96" s="16"/>
      <c r="M96" s="16"/>
    </row>
    <row r="97" spans="1:13" ht="23.4" customHeight="1" x14ac:dyDescent="0.3">
      <c r="A97" s="15">
        <v>600129</v>
      </c>
      <c r="B97" s="8">
        <v>6211023913527</v>
      </c>
      <c r="C97" s="3" t="s">
        <v>117</v>
      </c>
      <c r="D97" s="11">
        <v>4</v>
      </c>
      <c r="E97" s="5">
        <v>13.5</v>
      </c>
      <c r="F97" s="5">
        <f t="shared" si="1"/>
        <v>3.375</v>
      </c>
      <c r="G97" s="11"/>
      <c r="H97" s="11"/>
      <c r="I97" s="16"/>
      <c r="J97" s="16"/>
      <c r="K97" s="16"/>
      <c r="L97" s="16"/>
      <c r="M97" s="16"/>
    </row>
    <row r="98" spans="1:13" ht="23.4" customHeight="1" x14ac:dyDescent="0.3">
      <c r="A98" s="15">
        <v>600136</v>
      </c>
      <c r="B98" s="8">
        <v>6253500765533</v>
      </c>
      <c r="C98" s="3" t="s">
        <v>118</v>
      </c>
      <c r="D98" s="11">
        <v>1</v>
      </c>
      <c r="E98" s="5">
        <v>6.25</v>
      </c>
      <c r="F98" s="5">
        <f t="shared" si="1"/>
        <v>6.25</v>
      </c>
      <c r="G98" s="11"/>
      <c r="H98" s="11"/>
      <c r="I98" s="16"/>
      <c r="J98" s="16"/>
      <c r="K98" s="16"/>
      <c r="L98" s="16"/>
      <c r="M98" s="16"/>
    </row>
    <row r="99" spans="1:13" ht="23.4" customHeight="1" x14ac:dyDescent="0.3">
      <c r="A99" s="11">
        <v>600127</v>
      </c>
      <c r="B99" s="8">
        <v>6253500765175</v>
      </c>
      <c r="C99" s="3" t="s">
        <v>99</v>
      </c>
      <c r="D99" s="11">
        <v>1</v>
      </c>
      <c r="E99" s="5">
        <v>10.75</v>
      </c>
      <c r="F99" s="5">
        <f t="shared" si="1"/>
        <v>10.75</v>
      </c>
      <c r="G99" s="11"/>
      <c r="H99" s="11"/>
      <c r="I99" s="16"/>
      <c r="J99" s="16"/>
      <c r="K99" s="16"/>
      <c r="L99" s="16"/>
      <c r="M99" s="16"/>
    </row>
    <row r="100" spans="1:13" ht="23.4" customHeight="1" x14ac:dyDescent="0.3">
      <c r="A100" s="11">
        <v>200027</v>
      </c>
      <c r="B100" s="8">
        <v>6253500765519</v>
      </c>
      <c r="C100" s="3" t="s">
        <v>100</v>
      </c>
      <c r="D100" s="11">
        <v>12</v>
      </c>
      <c r="E100" s="5">
        <v>15.25</v>
      </c>
      <c r="F100" s="5">
        <f t="shared" si="1"/>
        <v>1.2708333333333333</v>
      </c>
      <c r="G100" s="11"/>
      <c r="H100" s="11"/>
      <c r="I100" s="16"/>
      <c r="J100" s="16"/>
      <c r="K100" s="16"/>
      <c r="L100" s="16"/>
      <c r="M100" s="16"/>
    </row>
    <row r="101" spans="1:13" ht="23.4" customHeight="1" x14ac:dyDescent="0.3">
      <c r="A101" s="11">
        <v>200028</v>
      </c>
      <c r="B101" s="8">
        <v>6253500765526</v>
      </c>
      <c r="C101" s="3" t="s">
        <v>101</v>
      </c>
      <c r="D101" s="11">
        <v>12</v>
      </c>
      <c r="E101" s="5">
        <v>15.25</v>
      </c>
      <c r="F101" s="5">
        <f t="shared" si="1"/>
        <v>1.2708333333333333</v>
      </c>
      <c r="G101" s="11"/>
      <c r="H101" s="11"/>
      <c r="I101" s="16"/>
      <c r="J101" s="16"/>
      <c r="K101" s="16"/>
      <c r="L101" s="16"/>
      <c r="M101" s="16"/>
    </row>
  </sheetData>
  <mergeCells count="4">
    <mergeCell ref="K2:M2"/>
    <mergeCell ref="D1:I1"/>
    <mergeCell ref="A1:B1"/>
    <mergeCell ref="K1:M1"/>
  </mergeCells>
  <phoneticPr fontId="3" type="noConversion"/>
  <pageMargins left="0" right="0.75" top="0" bottom="0" header="0.75" footer="0"/>
  <pageSetup scale="55" orientation="portrait" r:id="rId1"/>
  <rowBreaks count="1" manualBreakCount="1">
    <brk id="57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FCC43-70F6-4884-AF68-121DE54434E3}">
  <dimension ref="A1:G95"/>
  <sheetViews>
    <sheetView topLeftCell="B1" zoomScaleNormal="100" workbookViewId="0">
      <selection activeCell="M11" sqref="M11"/>
    </sheetView>
  </sheetViews>
  <sheetFormatPr defaultRowHeight="14.4" x14ac:dyDescent="0.3"/>
  <cols>
    <col min="1" max="1" width="11.33203125" hidden="1" customWidth="1"/>
    <col min="2" max="2" width="16.77734375" style="9" customWidth="1"/>
    <col min="3" max="3" width="43.44140625" bestFit="1" customWidth="1"/>
    <col min="4" max="4" width="8.88671875" style="12"/>
    <col min="5" max="5" width="0" style="6" hidden="1" customWidth="1"/>
    <col min="6" max="6" width="10.5546875" style="6" hidden="1" customWidth="1"/>
    <col min="7" max="7" width="13.5546875" style="6" hidden="1" customWidth="1"/>
    <col min="8" max="8" width="0" hidden="1" customWidth="1"/>
    <col min="10" max="10" width="6.88671875" bestFit="1" customWidth="1"/>
    <col min="11" max="11" width="12.44140625" customWidth="1"/>
    <col min="12" max="12" width="13.33203125" customWidth="1"/>
    <col min="14" max="14" width="10.109375" customWidth="1"/>
  </cols>
  <sheetData>
    <row r="1" spans="1:7" ht="29.4" customHeight="1" x14ac:dyDescent="0.3">
      <c r="A1" s="10" t="s">
        <v>0</v>
      </c>
      <c r="B1" s="2" t="s">
        <v>1</v>
      </c>
      <c r="C1" s="1" t="s">
        <v>3</v>
      </c>
      <c r="D1" s="1" t="s">
        <v>4</v>
      </c>
      <c r="E1" s="4" t="s">
        <v>5</v>
      </c>
      <c r="F1" s="4" t="s">
        <v>6</v>
      </c>
      <c r="G1" s="4" t="s">
        <v>224</v>
      </c>
    </row>
    <row r="2" spans="1:7" ht="23.4" customHeight="1" x14ac:dyDescent="0.3">
      <c r="A2" s="3">
        <v>400021</v>
      </c>
      <c r="B2" s="8">
        <v>6253500765090</v>
      </c>
      <c r="C2" s="3" t="s">
        <v>108</v>
      </c>
      <c r="D2" s="11">
        <v>12</v>
      </c>
      <c r="E2" s="5">
        <v>9.25</v>
      </c>
      <c r="F2" s="17">
        <f>G2/116%</f>
        <v>0.66451149425287359</v>
      </c>
      <c r="G2" s="5">
        <f>E2/D2</f>
        <v>0.77083333333333337</v>
      </c>
    </row>
    <row r="3" spans="1:7" ht="23.4" customHeight="1" x14ac:dyDescent="0.3">
      <c r="A3" s="3">
        <v>400024</v>
      </c>
      <c r="B3" s="8">
        <v>6253500765076</v>
      </c>
      <c r="C3" s="3" t="s">
        <v>109</v>
      </c>
      <c r="D3" s="11">
        <v>12</v>
      </c>
      <c r="E3" s="5">
        <v>9.25</v>
      </c>
      <c r="F3" s="17">
        <f t="shared" ref="F3:F66" si="0">G3/116%</f>
        <v>0.66451149425287359</v>
      </c>
      <c r="G3" s="5">
        <f t="shared" ref="G3:G66" si="1">E3/D3</f>
        <v>0.77083333333333337</v>
      </c>
    </row>
    <row r="4" spans="1:7" ht="23.4" customHeight="1" x14ac:dyDescent="0.3">
      <c r="A4" s="3">
        <v>400022</v>
      </c>
      <c r="B4" s="8">
        <v>6253500765083</v>
      </c>
      <c r="C4" s="3" t="s">
        <v>110</v>
      </c>
      <c r="D4" s="11">
        <v>12</v>
      </c>
      <c r="E4" s="5">
        <v>9.25</v>
      </c>
      <c r="F4" s="17">
        <f t="shared" si="0"/>
        <v>0.66451149425287359</v>
      </c>
      <c r="G4" s="5">
        <f t="shared" si="1"/>
        <v>0.77083333333333337</v>
      </c>
    </row>
    <row r="5" spans="1:7" ht="23.4" customHeight="1" x14ac:dyDescent="0.3">
      <c r="A5" s="3">
        <v>400020</v>
      </c>
      <c r="B5" s="8">
        <v>6253500765113</v>
      </c>
      <c r="C5" s="3" t="s">
        <v>111</v>
      </c>
      <c r="D5" s="11">
        <v>12</v>
      </c>
      <c r="E5" s="5">
        <v>9.25</v>
      </c>
      <c r="F5" s="17">
        <f t="shared" si="0"/>
        <v>0.66451149425287359</v>
      </c>
      <c r="G5" s="5">
        <f t="shared" si="1"/>
        <v>0.77083333333333337</v>
      </c>
    </row>
    <row r="6" spans="1:7" ht="23.4" customHeight="1" x14ac:dyDescent="0.3">
      <c r="A6" s="3">
        <v>200001</v>
      </c>
      <c r="B6" s="8">
        <v>6253500760019</v>
      </c>
      <c r="C6" s="3" t="s">
        <v>26</v>
      </c>
      <c r="D6" s="11">
        <v>18</v>
      </c>
      <c r="E6" s="5">
        <v>13.5</v>
      </c>
      <c r="F6" s="17">
        <f t="shared" si="0"/>
        <v>0.64655172413793105</v>
      </c>
      <c r="G6" s="5">
        <f t="shared" si="1"/>
        <v>0.75</v>
      </c>
    </row>
    <row r="7" spans="1:7" ht="23.4" customHeight="1" x14ac:dyDescent="0.3">
      <c r="A7" s="3">
        <v>200003</v>
      </c>
      <c r="B7" s="8">
        <v>6253500760200</v>
      </c>
      <c r="C7" s="3" t="s">
        <v>27</v>
      </c>
      <c r="D7" s="11">
        <v>12</v>
      </c>
      <c r="E7" s="5">
        <v>13.5</v>
      </c>
      <c r="F7" s="17">
        <f t="shared" si="0"/>
        <v>0.96982758620689657</v>
      </c>
      <c r="G7" s="5">
        <f t="shared" si="1"/>
        <v>1.125</v>
      </c>
    </row>
    <row r="8" spans="1:7" ht="23.4" customHeight="1" x14ac:dyDescent="0.3">
      <c r="A8" s="3">
        <v>200002</v>
      </c>
      <c r="B8" s="8">
        <v>6253500760194</v>
      </c>
      <c r="C8" s="3" t="s">
        <v>28</v>
      </c>
      <c r="D8" s="11">
        <v>12</v>
      </c>
      <c r="E8" s="5">
        <v>13.5</v>
      </c>
      <c r="F8" s="17">
        <f t="shared" si="0"/>
        <v>0.96982758620689657</v>
      </c>
      <c r="G8" s="5">
        <f t="shared" si="1"/>
        <v>1.125</v>
      </c>
    </row>
    <row r="9" spans="1:7" ht="23.4" customHeight="1" x14ac:dyDescent="0.3">
      <c r="A9" s="3">
        <v>200004</v>
      </c>
      <c r="B9" s="8">
        <v>6253500760026</v>
      </c>
      <c r="C9" s="3" t="s">
        <v>29</v>
      </c>
      <c r="D9" s="11">
        <v>9</v>
      </c>
      <c r="E9" s="5">
        <v>12</v>
      </c>
      <c r="F9" s="17">
        <f t="shared" si="0"/>
        <v>1.1494252873563218</v>
      </c>
      <c r="G9" s="5">
        <f t="shared" si="1"/>
        <v>1.3333333333333333</v>
      </c>
    </row>
    <row r="10" spans="1:7" ht="23.4" customHeight="1" x14ac:dyDescent="0.3">
      <c r="A10" s="3">
        <v>200006</v>
      </c>
      <c r="B10" s="8">
        <v>6253500760231</v>
      </c>
      <c r="C10" s="3" t="s">
        <v>30</v>
      </c>
      <c r="D10" s="11">
        <v>9</v>
      </c>
      <c r="E10" s="5">
        <v>12</v>
      </c>
      <c r="F10" s="17">
        <f t="shared" si="0"/>
        <v>1.1494252873563218</v>
      </c>
      <c r="G10" s="5">
        <f t="shared" si="1"/>
        <v>1.3333333333333333</v>
      </c>
    </row>
    <row r="11" spans="1:7" ht="23.4" customHeight="1" x14ac:dyDescent="0.3">
      <c r="A11" s="3">
        <v>200005</v>
      </c>
      <c r="B11" s="8">
        <v>6253500760255</v>
      </c>
      <c r="C11" s="3" t="s">
        <v>31</v>
      </c>
      <c r="D11" s="11">
        <v>9</v>
      </c>
      <c r="E11" s="5">
        <v>12</v>
      </c>
      <c r="F11" s="17">
        <f t="shared" si="0"/>
        <v>1.1494252873563218</v>
      </c>
      <c r="G11" s="5">
        <f t="shared" si="1"/>
        <v>1.3333333333333333</v>
      </c>
    </row>
    <row r="12" spans="1:7" ht="23.4" customHeight="1" x14ac:dyDescent="0.3">
      <c r="A12" s="3">
        <v>200007</v>
      </c>
      <c r="B12" s="8">
        <v>6253500760033</v>
      </c>
      <c r="C12" s="3" t="s">
        <v>32</v>
      </c>
      <c r="D12" s="11">
        <v>4</v>
      </c>
      <c r="E12" s="5">
        <v>9.35</v>
      </c>
      <c r="F12" s="17">
        <f t="shared" si="0"/>
        <v>2.0150862068965516</v>
      </c>
      <c r="G12" s="5">
        <f t="shared" si="1"/>
        <v>2.3374999999999999</v>
      </c>
    </row>
    <row r="13" spans="1:7" ht="23.4" customHeight="1" x14ac:dyDescent="0.3">
      <c r="A13" s="3">
        <v>200009</v>
      </c>
      <c r="B13" s="8">
        <v>6253500760248</v>
      </c>
      <c r="C13" s="3" t="s">
        <v>33</v>
      </c>
      <c r="D13" s="11">
        <v>4</v>
      </c>
      <c r="E13" s="5">
        <v>9.35</v>
      </c>
      <c r="F13" s="17">
        <f t="shared" si="0"/>
        <v>2.0150862068965516</v>
      </c>
      <c r="G13" s="5">
        <f t="shared" si="1"/>
        <v>2.3374999999999999</v>
      </c>
    </row>
    <row r="14" spans="1:7" ht="23.4" customHeight="1" x14ac:dyDescent="0.3">
      <c r="A14" s="3">
        <v>200008</v>
      </c>
      <c r="B14" s="8">
        <v>6253500760224</v>
      </c>
      <c r="C14" s="3" t="s">
        <v>34</v>
      </c>
      <c r="D14" s="11">
        <v>4</v>
      </c>
      <c r="E14" s="5">
        <v>9.35</v>
      </c>
      <c r="F14" s="17">
        <f t="shared" si="0"/>
        <v>2.0150862068965516</v>
      </c>
      <c r="G14" s="5">
        <f t="shared" si="1"/>
        <v>2.3374999999999999</v>
      </c>
    </row>
    <row r="15" spans="1:7" ht="23.4" customHeight="1" x14ac:dyDescent="0.3">
      <c r="A15" s="3">
        <v>200018</v>
      </c>
      <c r="B15" s="8">
        <v>6253500760712</v>
      </c>
      <c r="C15" s="3" t="s">
        <v>210</v>
      </c>
      <c r="D15" s="11">
        <v>12</v>
      </c>
      <c r="E15" s="5">
        <v>15.3</v>
      </c>
      <c r="F15" s="17">
        <f t="shared" si="0"/>
        <v>1.0991379310344829</v>
      </c>
      <c r="G15" s="5">
        <f t="shared" si="1"/>
        <v>1.2750000000000001</v>
      </c>
    </row>
    <row r="16" spans="1:7" ht="23.4" customHeight="1" x14ac:dyDescent="0.3">
      <c r="A16" s="3">
        <v>200011</v>
      </c>
      <c r="B16" s="8">
        <v>6253500760705</v>
      </c>
      <c r="C16" s="3" t="s">
        <v>209</v>
      </c>
      <c r="D16" s="11">
        <v>12</v>
      </c>
      <c r="E16" s="5">
        <v>15.3</v>
      </c>
      <c r="F16" s="17">
        <f t="shared" si="0"/>
        <v>1.0991379310344829</v>
      </c>
      <c r="G16" s="5">
        <f t="shared" si="1"/>
        <v>1.2750000000000001</v>
      </c>
    </row>
    <row r="17" spans="1:7" ht="23.4" customHeight="1" x14ac:dyDescent="0.3">
      <c r="A17" s="3">
        <v>130080</v>
      </c>
      <c r="B17" s="8">
        <v>6253500761399</v>
      </c>
      <c r="C17" s="3" t="s">
        <v>35</v>
      </c>
      <c r="D17" s="11">
        <v>12</v>
      </c>
      <c r="E17" s="5">
        <v>3.65</v>
      </c>
      <c r="F17" s="17">
        <f t="shared" si="0"/>
        <v>0.26221264367816094</v>
      </c>
      <c r="G17" s="5">
        <f t="shared" si="1"/>
        <v>0.30416666666666664</v>
      </c>
    </row>
    <row r="18" spans="1:7" ht="23.4" customHeight="1" x14ac:dyDescent="0.3">
      <c r="A18" s="3">
        <v>130082</v>
      </c>
      <c r="B18" s="8">
        <v>6253500763041</v>
      </c>
      <c r="C18" s="3" t="s">
        <v>36</v>
      </c>
      <c r="D18" s="11">
        <v>4</v>
      </c>
      <c r="E18" s="5">
        <v>5</v>
      </c>
      <c r="F18" s="17">
        <f t="shared" si="0"/>
        <v>1.0775862068965518</v>
      </c>
      <c r="G18" s="5">
        <f t="shared" si="1"/>
        <v>1.25</v>
      </c>
    </row>
    <row r="19" spans="1:7" ht="23.4" customHeight="1" x14ac:dyDescent="0.3">
      <c r="A19" s="3">
        <v>500003</v>
      </c>
      <c r="B19" s="8">
        <v>6253500760095</v>
      </c>
      <c r="C19" s="3" t="s">
        <v>49</v>
      </c>
      <c r="D19" s="11">
        <v>12</v>
      </c>
      <c r="E19" s="5">
        <v>12.75</v>
      </c>
      <c r="F19" s="17">
        <f t="shared" si="0"/>
        <v>0.91594827586206906</v>
      </c>
      <c r="G19" s="5">
        <f t="shared" si="1"/>
        <v>1.0625</v>
      </c>
    </row>
    <row r="20" spans="1:7" ht="23.4" customHeight="1" x14ac:dyDescent="0.3">
      <c r="A20" s="3">
        <v>300002</v>
      </c>
      <c r="B20" s="8">
        <v>6253500760064</v>
      </c>
      <c r="C20" s="3" t="s">
        <v>37</v>
      </c>
      <c r="D20" s="11">
        <v>12</v>
      </c>
      <c r="E20" s="5">
        <v>11</v>
      </c>
      <c r="F20" s="17">
        <f t="shared" si="0"/>
        <v>0.79022988505747127</v>
      </c>
      <c r="G20" s="5">
        <f t="shared" si="1"/>
        <v>0.91666666666666663</v>
      </c>
    </row>
    <row r="21" spans="1:7" ht="23.4" customHeight="1" x14ac:dyDescent="0.3">
      <c r="A21" s="3">
        <v>300005</v>
      </c>
      <c r="B21" s="8">
        <v>6253500761313</v>
      </c>
      <c r="C21" s="3" t="s">
        <v>38</v>
      </c>
      <c r="D21" s="11">
        <v>12</v>
      </c>
      <c r="E21" s="5">
        <v>11</v>
      </c>
      <c r="F21" s="17">
        <f t="shared" si="0"/>
        <v>0.79022988505747127</v>
      </c>
      <c r="G21" s="5">
        <f t="shared" si="1"/>
        <v>0.91666666666666663</v>
      </c>
    </row>
    <row r="22" spans="1:7" ht="23.4" customHeight="1" x14ac:dyDescent="0.3">
      <c r="A22" s="3">
        <v>300004</v>
      </c>
      <c r="B22" s="8">
        <v>6253500760187</v>
      </c>
      <c r="C22" s="3" t="s">
        <v>39</v>
      </c>
      <c r="D22" s="11">
        <v>12</v>
      </c>
      <c r="E22" s="5">
        <v>11</v>
      </c>
      <c r="F22" s="17">
        <f t="shared" si="0"/>
        <v>0.79022988505747127</v>
      </c>
      <c r="G22" s="5">
        <f t="shared" si="1"/>
        <v>0.91666666666666663</v>
      </c>
    </row>
    <row r="23" spans="1:7" ht="23.4" customHeight="1" x14ac:dyDescent="0.3">
      <c r="A23" s="3">
        <v>300010</v>
      </c>
      <c r="B23" s="8">
        <v>6253500765489</v>
      </c>
      <c r="C23" s="3" t="s">
        <v>40</v>
      </c>
      <c r="D23" s="11">
        <v>12</v>
      </c>
      <c r="E23" s="5">
        <v>11</v>
      </c>
      <c r="F23" s="17">
        <f t="shared" si="0"/>
        <v>0.79022988505747127</v>
      </c>
      <c r="G23" s="5">
        <f t="shared" si="1"/>
        <v>0.91666666666666663</v>
      </c>
    </row>
    <row r="24" spans="1:7" ht="23.4" customHeight="1" x14ac:dyDescent="0.3">
      <c r="A24" s="3">
        <v>300001</v>
      </c>
      <c r="B24" s="8">
        <v>6253500760057</v>
      </c>
      <c r="C24" s="3" t="s">
        <v>41</v>
      </c>
      <c r="D24" s="11">
        <v>12</v>
      </c>
      <c r="E24" s="5">
        <v>11</v>
      </c>
      <c r="F24" s="17">
        <f t="shared" si="0"/>
        <v>0.79022988505747127</v>
      </c>
      <c r="G24" s="5">
        <f t="shared" si="1"/>
        <v>0.91666666666666663</v>
      </c>
    </row>
    <row r="25" spans="1:7" ht="23.4" customHeight="1" x14ac:dyDescent="0.3">
      <c r="A25" s="3">
        <v>300021</v>
      </c>
      <c r="B25" s="8">
        <v>6253500761511</v>
      </c>
      <c r="C25" s="3" t="s">
        <v>42</v>
      </c>
      <c r="D25" s="11">
        <v>6</v>
      </c>
      <c r="E25" s="5">
        <v>10.5</v>
      </c>
      <c r="F25" s="17">
        <f t="shared" si="0"/>
        <v>1.5086206896551726</v>
      </c>
      <c r="G25" s="5">
        <f t="shared" si="1"/>
        <v>1.75</v>
      </c>
    </row>
    <row r="26" spans="1:7" ht="23.4" customHeight="1" x14ac:dyDescent="0.3">
      <c r="A26" s="3">
        <v>300008</v>
      </c>
      <c r="B26" s="8">
        <v>6253500761498</v>
      </c>
      <c r="C26" s="3" t="s">
        <v>43</v>
      </c>
      <c r="D26" s="11">
        <v>6</v>
      </c>
      <c r="E26" s="5">
        <v>10.5</v>
      </c>
      <c r="F26" s="17">
        <f t="shared" si="0"/>
        <v>1.5086206896551726</v>
      </c>
      <c r="G26" s="5">
        <f t="shared" si="1"/>
        <v>1.75</v>
      </c>
    </row>
    <row r="27" spans="1:7" ht="23.4" customHeight="1" x14ac:dyDescent="0.3">
      <c r="A27" s="3">
        <v>300007</v>
      </c>
      <c r="B27" s="8">
        <v>6253500761467</v>
      </c>
      <c r="C27" s="3" t="s">
        <v>44</v>
      </c>
      <c r="D27" s="11">
        <v>6</v>
      </c>
      <c r="E27" s="5">
        <v>10.5</v>
      </c>
      <c r="F27" s="17">
        <f t="shared" si="0"/>
        <v>1.5086206896551726</v>
      </c>
      <c r="G27" s="5">
        <f t="shared" si="1"/>
        <v>1.75</v>
      </c>
    </row>
    <row r="28" spans="1:7" ht="23.4" customHeight="1" x14ac:dyDescent="0.3">
      <c r="A28" s="3">
        <v>300012</v>
      </c>
      <c r="B28" s="8">
        <v>6253500761504</v>
      </c>
      <c r="C28" s="3" t="s">
        <v>45</v>
      </c>
      <c r="D28" s="11">
        <v>6</v>
      </c>
      <c r="E28" s="5">
        <v>10.5</v>
      </c>
      <c r="F28" s="17">
        <f t="shared" si="0"/>
        <v>1.5086206896551726</v>
      </c>
      <c r="G28" s="5">
        <f t="shared" si="1"/>
        <v>1.75</v>
      </c>
    </row>
    <row r="29" spans="1:7" ht="23.4" customHeight="1" x14ac:dyDescent="0.3">
      <c r="A29" s="3">
        <v>300009</v>
      </c>
      <c r="B29" s="8">
        <v>6253500761474</v>
      </c>
      <c r="C29" s="3" t="s">
        <v>46</v>
      </c>
      <c r="D29" s="11">
        <v>6</v>
      </c>
      <c r="E29" s="5">
        <v>10.5</v>
      </c>
      <c r="F29" s="17">
        <f t="shared" si="0"/>
        <v>1.5086206896551726</v>
      </c>
      <c r="G29" s="5">
        <f t="shared" si="1"/>
        <v>1.75</v>
      </c>
    </row>
    <row r="30" spans="1:7" ht="23.4" customHeight="1" x14ac:dyDescent="0.3">
      <c r="A30" s="3">
        <v>300006</v>
      </c>
      <c r="B30" s="8">
        <v>6253500761450</v>
      </c>
      <c r="C30" s="3" t="s">
        <v>47</v>
      </c>
      <c r="D30" s="11">
        <v>6</v>
      </c>
      <c r="E30" s="5">
        <v>10.5</v>
      </c>
      <c r="F30" s="17">
        <f t="shared" si="0"/>
        <v>1.5086206896551726</v>
      </c>
      <c r="G30" s="5">
        <f t="shared" si="1"/>
        <v>1.75</v>
      </c>
    </row>
    <row r="31" spans="1:7" ht="23.4" customHeight="1" x14ac:dyDescent="0.3">
      <c r="A31" s="3">
        <v>300011</v>
      </c>
      <c r="B31" s="8">
        <v>6253500761481</v>
      </c>
      <c r="C31" s="3" t="s">
        <v>48</v>
      </c>
      <c r="D31" s="11">
        <v>6</v>
      </c>
      <c r="E31" s="5">
        <v>10.5</v>
      </c>
      <c r="F31" s="17">
        <f t="shared" si="0"/>
        <v>1.5086206896551726</v>
      </c>
      <c r="G31" s="5">
        <f t="shared" si="1"/>
        <v>1.75</v>
      </c>
    </row>
    <row r="32" spans="1:7" ht="23.4" customHeight="1" x14ac:dyDescent="0.3">
      <c r="A32" s="3">
        <v>500001</v>
      </c>
      <c r="B32" s="8">
        <v>6253500760132</v>
      </c>
      <c r="C32" s="3" t="s">
        <v>50</v>
      </c>
      <c r="D32" s="11">
        <v>12</v>
      </c>
      <c r="E32" s="5">
        <v>15.3</v>
      </c>
      <c r="F32" s="17">
        <f t="shared" si="0"/>
        <v>1.0991379310344829</v>
      </c>
      <c r="G32" s="5">
        <f t="shared" si="1"/>
        <v>1.2750000000000001</v>
      </c>
    </row>
    <row r="33" spans="1:7" ht="23.4" customHeight="1" x14ac:dyDescent="0.3">
      <c r="A33" s="3">
        <v>600045</v>
      </c>
      <c r="B33" s="8">
        <v>6253500762679</v>
      </c>
      <c r="C33" s="3" t="s">
        <v>52</v>
      </c>
      <c r="D33" s="11">
        <v>12</v>
      </c>
      <c r="E33" s="5">
        <v>11</v>
      </c>
      <c r="F33" s="17">
        <f t="shared" si="0"/>
        <v>0.79022988505747127</v>
      </c>
      <c r="G33" s="5">
        <f t="shared" si="1"/>
        <v>0.91666666666666663</v>
      </c>
    </row>
    <row r="34" spans="1:7" ht="23.4" customHeight="1" x14ac:dyDescent="0.3">
      <c r="A34" s="3">
        <v>600043</v>
      </c>
      <c r="B34" s="8">
        <v>6253500762662</v>
      </c>
      <c r="C34" s="3" t="s">
        <v>53</v>
      </c>
      <c r="D34" s="11">
        <v>12</v>
      </c>
      <c r="E34" s="5">
        <v>11</v>
      </c>
      <c r="F34" s="17">
        <f t="shared" si="0"/>
        <v>0.79022988505747127</v>
      </c>
      <c r="G34" s="5">
        <f t="shared" si="1"/>
        <v>0.91666666666666663</v>
      </c>
    </row>
    <row r="35" spans="1:7" ht="23.4" customHeight="1" x14ac:dyDescent="0.3">
      <c r="A35" s="3">
        <v>600044</v>
      </c>
      <c r="B35" s="8">
        <v>6253500762655</v>
      </c>
      <c r="C35" s="3" t="s">
        <v>54</v>
      </c>
      <c r="D35" s="11">
        <v>12</v>
      </c>
      <c r="E35" s="5">
        <v>11</v>
      </c>
      <c r="F35" s="17">
        <f t="shared" si="0"/>
        <v>0.79022988505747127</v>
      </c>
      <c r="G35" s="5">
        <f t="shared" si="1"/>
        <v>0.91666666666666663</v>
      </c>
    </row>
    <row r="36" spans="1:7" ht="23.4" customHeight="1" x14ac:dyDescent="0.3">
      <c r="A36" s="3">
        <v>600031</v>
      </c>
      <c r="B36" s="8">
        <v>6253500762648</v>
      </c>
      <c r="C36" s="3" t="s">
        <v>55</v>
      </c>
      <c r="D36" s="11">
        <v>6</v>
      </c>
      <c r="E36" s="5">
        <v>10.5</v>
      </c>
      <c r="F36" s="17">
        <f t="shared" si="0"/>
        <v>1.5086206896551726</v>
      </c>
      <c r="G36" s="5">
        <f t="shared" si="1"/>
        <v>1.75</v>
      </c>
    </row>
    <row r="37" spans="1:7" ht="23.4" customHeight="1" x14ac:dyDescent="0.3">
      <c r="A37" s="3">
        <v>600032</v>
      </c>
      <c r="B37" s="8">
        <v>6253500761429</v>
      </c>
      <c r="C37" s="3" t="s">
        <v>56</v>
      </c>
      <c r="D37" s="11">
        <v>6</v>
      </c>
      <c r="E37" s="5">
        <v>10.5</v>
      </c>
      <c r="F37" s="17">
        <f t="shared" si="0"/>
        <v>1.5086206896551726</v>
      </c>
      <c r="G37" s="5">
        <f t="shared" si="1"/>
        <v>1.75</v>
      </c>
    </row>
    <row r="38" spans="1:7" ht="23.4" customHeight="1" x14ac:dyDescent="0.3">
      <c r="A38" s="3">
        <v>600033</v>
      </c>
      <c r="B38" s="8">
        <v>6253500762914</v>
      </c>
      <c r="C38" s="3" t="s">
        <v>57</v>
      </c>
      <c r="D38" s="11">
        <v>6</v>
      </c>
      <c r="E38" s="5">
        <v>10.5</v>
      </c>
      <c r="F38" s="17">
        <f t="shared" si="0"/>
        <v>1.5086206896551726</v>
      </c>
      <c r="G38" s="5">
        <f t="shared" si="1"/>
        <v>1.75</v>
      </c>
    </row>
    <row r="39" spans="1:7" ht="23.4" customHeight="1" x14ac:dyDescent="0.3">
      <c r="A39" s="3">
        <v>600019</v>
      </c>
      <c r="B39" s="8">
        <v>6253500760736</v>
      </c>
      <c r="C39" s="3" t="s">
        <v>58</v>
      </c>
      <c r="D39" s="11">
        <v>12</v>
      </c>
      <c r="E39" s="5">
        <v>11.5</v>
      </c>
      <c r="F39" s="17">
        <f t="shared" si="0"/>
        <v>0.82614942528735646</v>
      </c>
      <c r="G39" s="5">
        <f t="shared" si="1"/>
        <v>0.95833333333333337</v>
      </c>
    </row>
    <row r="40" spans="1:7" ht="23.4" customHeight="1" x14ac:dyDescent="0.3">
      <c r="A40" s="3">
        <v>600023</v>
      </c>
      <c r="B40" s="8">
        <v>6253500763034</v>
      </c>
      <c r="C40" s="3" t="s">
        <v>59</v>
      </c>
      <c r="D40" s="11">
        <v>12</v>
      </c>
      <c r="E40" s="5">
        <v>11.5</v>
      </c>
      <c r="F40" s="17">
        <f t="shared" si="0"/>
        <v>0.82614942528735646</v>
      </c>
      <c r="G40" s="5">
        <f t="shared" si="1"/>
        <v>0.95833333333333337</v>
      </c>
    </row>
    <row r="41" spans="1:7" ht="23.4" customHeight="1" x14ac:dyDescent="0.3">
      <c r="A41" s="3">
        <v>600020</v>
      </c>
      <c r="B41" s="8">
        <v>6253500761184</v>
      </c>
      <c r="C41" s="3" t="s">
        <v>60</v>
      </c>
      <c r="D41" s="11">
        <v>12</v>
      </c>
      <c r="E41" s="5">
        <v>11.5</v>
      </c>
      <c r="F41" s="17">
        <f t="shared" si="0"/>
        <v>0.82614942528735646</v>
      </c>
      <c r="G41" s="5">
        <f t="shared" si="1"/>
        <v>0.95833333333333337</v>
      </c>
    </row>
    <row r="42" spans="1:7" ht="23.4" customHeight="1" x14ac:dyDescent="0.3">
      <c r="A42" s="3">
        <v>600029</v>
      </c>
      <c r="B42" s="8">
        <v>6253500761191</v>
      </c>
      <c r="C42" s="3" t="s">
        <v>114</v>
      </c>
      <c r="D42" s="11">
        <v>6</v>
      </c>
      <c r="E42" s="5">
        <v>11</v>
      </c>
      <c r="F42" s="17">
        <f t="shared" si="0"/>
        <v>1.5804597701149425</v>
      </c>
      <c r="G42" s="5">
        <f t="shared" si="1"/>
        <v>1.8333333333333333</v>
      </c>
    </row>
    <row r="43" spans="1:7" ht="23.4" customHeight="1" x14ac:dyDescent="0.3">
      <c r="A43" s="3">
        <v>600030</v>
      </c>
      <c r="B43" s="8">
        <v>6253500763195</v>
      </c>
      <c r="C43" s="3" t="s">
        <v>115</v>
      </c>
      <c r="D43" s="11">
        <v>6</v>
      </c>
      <c r="E43" s="5">
        <v>11</v>
      </c>
      <c r="F43" s="17">
        <f t="shared" si="0"/>
        <v>1.5804597701149425</v>
      </c>
      <c r="G43" s="5">
        <f t="shared" si="1"/>
        <v>1.8333333333333333</v>
      </c>
    </row>
    <row r="44" spans="1:7" ht="23.4" customHeight="1" x14ac:dyDescent="0.3">
      <c r="A44" s="3">
        <v>600025</v>
      </c>
      <c r="B44" s="8">
        <v>6253500761221</v>
      </c>
      <c r="C44" s="3" t="s">
        <v>113</v>
      </c>
      <c r="D44" s="11">
        <v>6</v>
      </c>
      <c r="E44" s="5">
        <v>11</v>
      </c>
      <c r="F44" s="17">
        <f t="shared" si="0"/>
        <v>1.5804597701149425</v>
      </c>
      <c r="G44" s="5">
        <f t="shared" si="1"/>
        <v>1.8333333333333333</v>
      </c>
    </row>
    <row r="45" spans="1:7" ht="23.4" customHeight="1" x14ac:dyDescent="0.3">
      <c r="A45" s="3">
        <v>600018</v>
      </c>
      <c r="B45" s="8">
        <v>6253500760156</v>
      </c>
      <c r="C45" s="3" t="s">
        <v>61</v>
      </c>
      <c r="D45" s="11">
        <v>12</v>
      </c>
      <c r="E45" s="5">
        <v>5.56</v>
      </c>
      <c r="F45" s="17">
        <f t="shared" si="0"/>
        <v>0.39942528735632188</v>
      </c>
      <c r="G45" s="5">
        <f t="shared" si="1"/>
        <v>0.46333333333333332</v>
      </c>
    </row>
    <row r="46" spans="1:7" ht="23.4" customHeight="1" x14ac:dyDescent="0.3">
      <c r="A46" s="3">
        <v>600040</v>
      </c>
      <c r="B46" s="8">
        <v>6253011995245</v>
      </c>
      <c r="C46" s="3" t="s">
        <v>62</v>
      </c>
      <c r="D46" s="11">
        <v>12</v>
      </c>
      <c r="E46" s="5">
        <v>9.9</v>
      </c>
      <c r="F46" s="17">
        <f t="shared" si="0"/>
        <v>0.7112068965517242</v>
      </c>
      <c r="G46" s="5">
        <f t="shared" si="1"/>
        <v>0.82500000000000007</v>
      </c>
    </row>
    <row r="47" spans="1:7" ht="23.4" customHeight="1" x14ac:dyDescent="0.3">
      <c r="A47" s="3">
        <v>600132</v>
      </c>
      <c r="B47" s="8">
        <v>6253500764949</v>
      </c>
      <c r="C47" s="3" t="s">
        <v>63</v>
      </c>
      <c r="D47" s="11">
        <v>12</v>
      </c>
      <c r="E47" s="5">
        <v>11</v>
      </c>
      <c r="F47" s="17">
        <f t="shared" si="0"/>
        <v>0.79022988505747127</v>
      </c>
      <c r="G47" s="5">
        <f t="shared" si="1"/>
        <v>0.91666666666666663</v>
      </c>
    </row>
    <row r="48" spans="1:7" ht="23.4" customHeight="1" x14ac:dyDescent="0.3">
      <c r="A48" s="3">
        <v>600130</v>
      </c>
      <c r="B48" s="8">
        <v>6253500764963</v>
      </c>
      <c r="C48" s="3" t="s">
        <v>64</v>
      </c>
      <c r="D48" s="11">
        <v>12</v>
      </c>
      <c r="E48" s="5">
        <v>11</v>
      </c>
      <c r="F48" s="17">
        <f t="shared" si="0"/>
        <v>0.79022988505747127</v>
      </c>
      <c r="G48" s="5">
        <f t="shared" si="1"/>
        <v>0.91666666666666663</v>
      </c>
    </row>
    <row r="49" spans="1:7" ht="23.4" customHeight="1" x14ac:dyDescent="0.3">
      <c r="A49" s="3">
        <v>600134</v>
      </c>
      <c r="B49" s="8">
        <v>6253500764956</v>
      </c>
      <c r="C49" s="3" t="s">
        <v>65</v>
      </c>
      <c r="D49" s="11">
        <v>12</v>
      </c>
      <c r="E49" s="5">
        <v>11</v>
      </c>
      <c r="F49" s="17">
        <f t="shared" si="0"/>
        <v>0.79022988505747127</v>
      </c>
      <c r="G49" s="5">
        <f t="shared" si="1"/>
        <v>0.91666666666666663</v>
      </c>
    </row>
    <row r="50" spans="1:7" ht="23.4" customHeight="1" x14ac:dyDescent="0.3">
      <c r="A50" s="3">
        <v>600131</v>
      </c>
      <c r="B50" s="8">
        <v>6253500764932</v>
      </c>
      <c r="C50" s="3" t="s">
        <v>66</v>
      </c>
      <c r="D50" s="11">
        <v>12</v>
      </c>
      <c r="E50" s="5">
        <v>11</v>
      </c>
      <c r="F50" s="17">
        <f t="shared" si="0"/>
        <v>0.79022988505747127</v>
      </c>
      <c r="G50" s="5">
        <f t="shared" si="1"/>
        <v>0.91666666666666663</v>
      </c>
    </row>
    <row r="51" spans="1:7" ht="23.4" customHeight="1" x14ac:dyDescent="0.3">
      <c r="A51" s="3">
        <v>600133</v>
      </c>
      <c r="B51" s="8">
        <v>6253500764925</v>
      </c>
      <c r="C51" s="3" t="s">
        <v>67</v>
      </c>
      <c r="D51" s="11">
        <v>12</v>
      </c>
      <c r="E51" s="5">
        <v>11</v>
      </c>
      <c r="F51" s="17">
        <f t="shared" si="0"/>
        <v>0.79022988505747127</v>
      </c>
      <c r="G51" s="5">
        <f t="shared" si="1"/>
        <v>0.91666666666666663</v>
      </c>
    </row>
    <row r="52" spans="1:7" ht="23.4" customHeight="1" x14ac:dyDescent="0.3">
      <c r="A52" s="3">
        <v>600140</v>
      </c>
      <c r="B52" s="8">
        <v>6253500765052</v>
      </c>
      <c r="C52" s="3" t="s">
        <v>68</v>
      </c>
      <c r="D52" s="11">
        <v>6</v>
      </c>
      <c r="E52" s="5">
        <v>9.5</v>
      </c>
      <c r="F52" s="17">
        <f t="shared" si="0"/>
        <v>1.3649425287356323</v>
      </c>
      <c r="G52" s="5">
        <f t="shared" si="1"/>
        <v>1.5833333333333333</v>
      </c>
    </row>
    <row r="53" spans="1:7" ht="23.4" customHeight="1" x14ac:dyDescent="0.3">
      <c r="A53" s="3">
        <v>600140</v>
      </c>
      <c r="B53" s="8">
        <v>6253500765038</v>
      </c>
      <c r="C53" s="3" t="s">
        <v>69</v>
      </c>
      <c r="D53" s="11">
        <v>6</v>
      </c>
      <c r="E53" s="5">
        <v>9.5</v>
      </c>
      <c r="F53" s="17">
        <f t="shared" si="0"/>
        <v>1.3649425287356323</v>
      </c>
      <c r="G53" s="5">
        <f t="shared" si="1"/>
        <v>1.5833333333333333</v>
      </c>
    </row>
    <row r="54" spans="1:7" ht="23.4" customHeight="1" x14ac:dyDescent="0.3">
      <c r="A54" s="3">
        <v>600140</v>
      </c>
      <c r="B54" s="8">
        <v>6253500765069</v>
      </c>
      <c r="C54" s="3" t="s">
        <v>70</v>
      </c>
      <c r="D54" s="11">
        <v>6</v>
      </c>
      <c r="E54" s="5">
        <v>9.5</v>
      </c>
      <c r="F54" s="17">
        <f t="shared" si="0"/>
        <v>1.3649425287356323</v>
      </c>
      <c r="G54" s="5">
        <f t="shared" si="1"/>
        <v>1.5833333333333333</v>
      </c>
    </row>
    <row r="55" spans="1:7" ht="23.4" customHeight="1" x14ac:dyDescent="0.3">
      <c r="A55" s="3">
        <v>600140</v>
      </c>
      <c r="B55" s="8">
        <v>6253500765045</v>
      </c>
      <c r="C55" s="3" t="s">
        <v>71</v>
      </c>
      <c r="D55" s="11">
        <v>6</v>
      </c>
      <c r="E55" s="5">
        <v>9.5</v>
      </c>
      <c r="F55" s="17">
        <f t="shared" si="0"/>
        <v>1.3649425287356323</v>
      </c>
      <c r="G55" s="5">
        <f t="shared" si="1"/>
        <v>1.5833333333333333</v>
      </c>
    </row>
    <row r="56" spans="1:7" ht="23.4" customHeight="1" x14ac:dyDescent="0.3">
      <c r="A56" s="3">
        <v>600065</v>
      </c>
      <c r="B56" s="8">
        <v>6253500765021</v>
      </c>
      <c r="C56" s="3" t="s">
        <v>72</v>
      </c>
      <c r="D56" s="11">
        <v>6</v>
      </c>
      <c r="E56" s="5">
        <v>9.5</v>
      </c>
      <c r="F56" s="17">
        <f t="shared" si="0"/>
        <v>1.3649425287356323</v>
      </c>
      <c r="G56" s="5">
        <f t="shared" si="1"/>
        <v>1.5833333333333333</v>
      </c>
    </row>
    <row r="57" spans="1:7" ht="23.4" customHeight="1" x14ac:dyDescent="0.3">
      <c r="A57" s="3">
        <v>600065</v>
      </c>
      <c r="B57" s="8">
        <v>6253500763256</v>
      </c>
      <c r="C57" s="3" t="s">
        <v>73</v>
      </c>
      <c r="D57" s="11">
        <v>4</v>
      </c>
      <c r="E57" s="5">
        <v>8.25</v>
      </c>
      <c r="F57" s="17">
        <f t="shared" si="0"/>
        <v>1.7780172413793105</v>
      </c>
      <c r="G57" s="5">
        <f t="shared" si="1"/>
        <v>2.0625</v>
      </c>
    </row>
    <row r="58" spans="1:7" ht="23.4" customHeight="1" x14ac:dyDescent="0.3">
      <c r="A58" s="3">
        <v>600073</v>
      </c>
      <c r="B58" s="8">
        <v>6253500763270</v>
      </c>
      <c r="C58" s="3" t="s">
        <v>74</v>
      </c>
      <c r="D58" s="11">
        <v>4</v>
      </c>
      <c r="E58" s="5">
        <v>8.25</v>
      </c>
      <c r="F58" s="17">
        <f t="shared" si="0"/>
        <v>1.7780172413793105</v>
      </c>
      <c r="G58" s="5">
        <f t="shared" si="1"/>
        <v>2.0625</v>
      </c>
    </row>
    <row r="59" spans="1:7" ht="23.4" customHeight="1" x14ac:dyDescent="0.3">
      <c r="A59" s="3">
        <v>600064</v>
      </c>
      <c r="B59" s="8">
        <v>6253500763249</v>
      </c>
      <c r="C59" s="3" t="s">
        <v>75</v>
      </c>
      <c r="D59" s="11">
        <v>4</v>
      </c>
      <c r="E59" s="5">
        <v>8.25</v>
      </c>
      <c r="F59" s="17">
        <f t="shared" si="0"/>
        <v>1.7780172413793105</v>
      </c>
      <c r="G59" s="5">
        <f t="shared" si="1"/>
        <v>2.0625</v>
      </c>
    </row>
    <row r="60" spans="1:7" ht="23.4" customHeight="1" x14ac:dyDescent="0.3">
      <c r="A60" s="3">
        <v>600069</v>
      </c>
      <c r="B60" s="8">
        <v>6253500763300</v>
      </c>
      <c r="C60" s="3" t="s">
        <v>76</v>
      </c>
      <c r="D60" s="11">
        <v>4</v>
      </c>
      <c r="E60" s="5">
        <v>8.25</v>
      </c>
      <c r="F60" s="17">
        <f t="shared" si="0"/>
        <v>1.7780172413793105</v>
      </c>
      <c r="G60" s="5">
        <f t="shared" si="1"/>
        <v>2.0625</v>
      </c>
    </row>
    <row r="61" spans="1:7" ht="23.4" customHeight="1" x14ac:dyDescent="0.3">
      <c r="A61" s="3">
        <v>600067</v>
      </c>
      <c r="B61" s="8">
        <v>6253500763294</v>
      </c>
      <c r="C61" s="3" t="s">
        <v>77</v>
      </c>
      <c r="D61" s="11">
        <v>4</v>
      </c>
      <c r="E61" s="5">
        <v>8.25</v>
      </c>
      <c r="F61" s="17">
        <f t="shared" si="0"/>
        <v>1.7780172413793105</v>
      </c>
      <c r="G61" s="5">
        <f t="shared" si="1"/>
        <v>2.0625</v>
      </c>
    </row>
    <row r="62" spans="1:7" ht="23.4" customHeight="1" x14ac:dyDescent="0.3">
      <c r="A62" s="3">
        <v>600068</v>
      </c>
      <c r="B62" s="8">
        <v>6253500763324</v>
      </c>
      <c r="C62" s="3" t="s">
        <v>78</v>
      </c>
      <c r="D62" s="11">
        <v>4</v>
      </c>
      <c r="E62" s="5">
        <v>8.25</v>
      </c>
      <c r="F62" s="17">
        <f t="shared" si="0"/>
        <v>1.7780172413793105</v>
      </c>
      <c r="G62" s="5">
        <f t="shared" si="1"/>
        <v>2.0625</v>
      </c>
    </row>
    <row r="63" spans="1:7" ht="23.4" customHeight="1" x14ac:dyDescent="0.3">
      <c r="A63" s="3">
        <v>600072</v>
      </c>
      <c r="B63" s="8">
        <v>6253500763263</v>
      </c>
      <c r="C63" s="3" t="s">
        <v>79</v>
      </c>
      <c r="D63" s="11">
        <v>4</v>
      </c>
      <c r="E63" s="5">
        <v>8.25</v>
      </c>
      <c r="F63" s="17">
        <f t="shared" si="0"/>
        <v>1.7780172413793105</v>
      </c>
      <c r="G63" s="5">
        <f t="shared" si="1"/>
        <v>2.0625</v>
      </c>
    </row>
    <row r="64" spans="1:7" ht="23.4" customHeight="1" x14ac:dyDescent="0.3">
      <c r="A64" s="3">
        <v>600070</v>
      </c>
      <c r="B64" s="8">
        <v>6253500763317</v>
      </c>
      <c r="C64" s="3" t="s">
        <v>80</v>
      </c>
      <c r="D64" s="11">
        <v>4</v>
      </c>
      <c r="E64" s="5">
        <v>8.25</v>
      </c>
      <c r="F64" s="17">
        <f t="shared" si="0"/>
        <v>1.7780172413793105</v>
      </c>
      <c r="G64" s="5">
        <f t="shared" si="1"/>
        <v>2.0625</v>
      </c>
    </row>
    <row r="65" spans="1:7" ht="23.4" customHeight="1" x14ac:dyDescent="0.3">
      <c r="A65" s="3">
        <v>600071</v>
      </c>
      <c r="B65" s="8">
        <v>6253500763331</v>
      </c>
      <c r="C65" s="3" t="s">
        <v>81</v>
      </c>
      <c r="D65" s="11">
        <v>4</v>
      </c>
      <c r="E65" s="5">
        <v>8.25</v>
      </c>
      <c r="F65" s="17">
        <f t="shared" si="0"/>
        <v>1.7780172413793105</v>
      </c>
      <c r="G65" s="5">
        <f t="shared" si="1"/>
        <v>2.0625</v>
      </c>
    </row>
    <row r="66" spans="1:7" ht="23.4" customHeight="1" x14ac:dyDescent="0.3">
      <c r="A66" s="3">
        <v>600066</v>
      </c>
      <c r="B66" s="8">
        <v>6253500763287</v>
      </c>
      <c r="C66" s="3" t="s">
        <v>82</v>
      </c>
      <c r="D66" s="11">
        <v>4</v>
      </c>
      <c r="E66" s="5">
        <v>8.25</v>
      </c>
      <c r="F66" s="17">
        <f t="shared" si="0"/>
        <v>1.7780172413793105</v>
      </c>
      <c r="G66" s="5">
        <f t="shared" si="1"/>
        <v>2.0625</v>
      </c>
    </row>
    <row r="67" spans="1:7" ht="23.4" customHeight="1" x14ac:dyDescent="0.3">
      <c r="A67" s="3">
        <v>400001</v>
      </c>
      <c r="B67" s="8">
        <v>6253500760361</v>
      </c>
      <c r="C67" s="3" t="s">
        <v>96</v>
      </c>
      <c r="D67" s="11">
        <v>12</v>
      </c>
      <c r="E67" s="5">
        <v>8.5</v>
      </c>
      <c r="F67" s="17">
        <f t="shared" ref="F67:F95" si="2">G67/116%</f>
        <v>0.61063218390804608</v>
      </c>
      <c r="G67" s="5">
        <f t="shared" ref="G67:G95" si="3">E67/D67</f>
        <v>0.70833333333333337</v>
      </c>
    </row>
    <row r="68" spans="1:7" ht="23.4" customHeight="1" x14ac:dyDescent="0.3">
      <c r="A68" s="3">
        <v>400002</v>
      </c>
      <c r="B68" s="8">
        <v>6253500760279</v>
      </c>
      <c r="C68" s="3" t="s">
        <v>97</v>
      </c>
      <c r="D68" s="11">
        <v>12</v>
      </c>
      <c r="E68" s="5">
        <v>8.5</v>
      </c>
      <c r="F68" s="17">
        <f t="shared" si="2"/>
        <v>0.61063218390804608</v>
      </c>
      <c r="G68" s="5">
        <f t="shared" si="3"/>
        <v>0.70833333333333337</v>
      </c>
    </row>
    <row r="69" spans="1:7" ht="23.4" customHeight="1" x14ac:dyDescent="0.3">
      <c r="A69" s="3">
        <v>600060</v>
      </c>
      <c r="B69" s="8">
        <v>6253500761320</v>
      </c>
      <c r="C69" s="3" t="s">
        <v>83</v>
      </c>
      <c r="D69" s="11">
        <v>12</v>
      </c>
      <c r="E69" s="5">
        <v>9.25</v>
      </c>
      <c r="F69" s="17">
        <f t="shared" si="2"/>
        <v>0.66451149425287359</v>
      </c>
      <c r="G69" s="5">
        <f t="shared" si="3"/>
        <v>0.77083333333333337</v>
      </c>
    </row>
    <row r="70" spans="1:7" ht="23.4" customHeight="1" x14ac:dyDescent="0.3">
      <c r="A70" s="3">
        <v>600059</v>
      </c>
      <c r="B70" s="8">
        <v>6253500763010</v>
      </c>
      <c r="C70" s="3" t="s">
        <v>84</v>
      </c>
      <c r="D70" s="11">
        <v>12</v>
      </c>
      <c r="E70" s="5">
        <v>9.25</v>
      </c>
      <c r="F70" s="17">
        <f t="shared" si="2"/>
        <v>0.66451149425287359</v>
      </c>
      <c r="G70" s="5">
        <f t="shared" si="3"/>
        <v>0.77083333333333337</v>
      </c>
    </row>
    <row r="71" spans="1:7" ht="23.4" customHeight="1" x14ac:dyDescent="0.3">
      <c r="A71" s="3">
        <v>600057</v>
      </c>
      <c r="B71" s="8">
        <v>6253500761306</v>
      </c>
      <c r="C71" s="3" t="s">
        <v>85</v>
      </c>
      <c r="D71" s="11">
        <v>12</v>
      </c>
      <c r="E71" s="5">
        <v>9.25</v>
      </c>
      <c r="F71" s="17">
        <f t="shared" si="2"/>
        <v>0.66451149425287359</v>
      </c>
      <c r="G71" s="5">
        <f t="shared" si="3"/>
        <v>0.77083333333333337</v>
      </c>
    </row>
    <row r="72" spans="1:7" ht="23.4" customHeight="1" x14ac:dyDescent="0.3">
      <c r="A72" s="3">
        <v>600015</v>
      </c>
      <c r="B72" s="8">
        <v>6253500760910</v>
      </c>
      <c r="C72" s="3" t="s">
        <v>86</v>
      </c>
      <c r="D72" s="11">
        <v>12</v>
      </c>
      <c r="E72" s="5">
        <v>9.25</v>
      </c>
      <c r="F72" s="17">
        <f t="shared" si="2"/>
        <v>0.66451149425287359</v>
      </c>
      <c r="G72" s="5">
        <f t="shared" si="3"/>
        <v>0.77083333333333337</v>
      </c>
    </row>
    <row r="73" spans="1:7" ht="23.4" customHeight="1" x14ac:dyDescent="0.3">
      <c r="A73" s="3">
        <v>600014</v>
      </c>
      <c r="B73" s="8">
        <v>6253500760903</v>
      </c>
      <c r="C73" s="3" t="s">
        <v>87</v>
      </c>
      <c r="D73" s="11">
        <v>12</v>
      </c>
      <c r="E73" s="5">
        <v>9.25</v>
      </c>
      <c r="F73" s="17">
        <f t="shared" si="2"/>
        <v>0.66451149425287359</v>
      </c>
      <c r="G73" s="5">
        <f t="shared" si="3"/>
        <v>0.77083333333333337</v>
      </c>
    </row>
    <row r="74" spans="1:7" ht="23.4" customHeight="1" x14ac:dyDescent="0.3">
      <c r="A74" s="3">
        <v>600058</v>
      </c>
      <c r="B74" s="8">
        <v>6253500761337</v>
      </c>
      <c r="C74" s="3" t="s">
        <v>88</v>
      </c>
      <c r="D74" s="11">
        <v>12</v>
      </c>
      <c r="E74" s="5">
        <v>9.25</v>
      </c>
      <c r="F74" s="17">
        <f t="shared" si="2"/>
        <v>0.66451149425287359</v>
      </c>
      <c r="G74" s="5">
        <f t="shared" si="3"/>
        <v>0.77083333333333337</v>
      </c>
    </row>
    <row r="75" spans="1:7" ht="23.4" customHeight="1" x14ac:dyDescent="0.3">
      <c r="A75" s="3">
        <v>600061</v>
      </c>
      <c r="B75" s="8">
        <v>6253011995474</v>
      </c>
      <c r="C75" s="3" t="s">
        <v>89</v>
      </c>
      <c r="D75" s="11">
        <v>12</v>
      </c>
      <c r="E75" s="5">
        <v>9.25</v>
      </c>
      <c r="F75" s="17">
        <f t="shared" si="2"/>
        <v>0.66451149425287359</v>
      </c>
      <c r="G75" s="5">
        <f t="shared" si="3"/>
        <v>0.77083333333333337</v>
      </c>
    </row>
    <row r="76" spans="1:7" ht="23.4" customHeight="1" x14ac:dyDescent="0.3">
      <c r="A76" s="3">
        <v>600009</v>
      </c>
      <c r="B76" s="8">
        <v>6253011995436</v>
      </c>
      <c r="C76" s="3" t="s">
        <v>90</v>
      </c>
      <c r="D76" s="11">
        <v>12</v>
      </c>
      <c r="E76" s="5">
        <v>9.25</v>
      </c>
      <c r="F76" s="17">
        <f t="shared" si="2"/>
        <v>0.66451149425287359</v>
      </c>
      <c r="G76" s="5">
        <f t="shared" si="3"/>
        <v>0.77083333333333337</v>
      </c>
    </row>
    <row r="77" spans="1:7" ht="23.4" customHeight="1" x14ac:dyDescent="0.3">
      <c r="A77" s="3">
        <v>600056</v>
      </c>
      <c r="B77" s="8">
        <v>6253011995450</v>
      </c>
      <c r="C77" s="3" t="s">
        <v>91</v>
      </c>
      <c r="D77" s="11">
        <v>12</v>
      </c>
      <c r="E77" s="5">
        <v>9.25</v>
      </c>
      <c r="F77" s="17">
        <f t="shared" si="2"/>
        <v>0.66451149425287359</v>
      </c>
      <c r="G77" s="5">
        <f t="shared" si="3"/>
        <v>0.77083333333333337</v>
      </c>
    </row>
    <row r="78" spans="1:7" ht="23.4" customHeight="1" x14ac:dyDescent="0.3">
      <c r="A78" s="7">
        <v>600011</v>
      </c>
      <c r="B78" s="8">
        <v>6253011995467</v>
      </c>
      <c r="C78" s="3" t="s">
        <v>92</v>
      </c>
      <c r="D78" s="11">
        <v>12</v>
      </c>
      <c r="E78" s="5">
        <v>9.25</v>
      </c>
      <c r="F78" s="17">
        <f t="shared" si="2"/>
        <v>0.66451149425287359</v>
      </c>
      <c r="G78" s="5">
        <f t="shared" si="3"/>
        <v>0.77083333333333337</v>
      </c>
    </row>
    <row r="79" spans="1:7" ht="23.4" customHeight="1" x14ac:dyDescent="0.3">
      <c r="A79" s="3">
        <v>600092</v>
      </c>
      <c r="B79" s="8">
        <v>6253500763683</v>
      </c>
      <c r="C79" s="3" t="s">
        <v>93</v>
      </c>
      <c r="D79" s="11">
        <v>12</v>
      </c>
      <c r="E79" s="5">
        <v>9.25</v>
      </c>
      <c r="F79" s="17">
        <f t="shared" si="2"/>
        <v>0.66451149425287359</v>
      </c>
      <c r="G79" s="5">
        <f t="shared" si="3"/>
        <v>0.77083333333333337</v>
      </c>
    </row>
    <row r="80" spans="1:7" ht="23.4" customHeight="1" x14ac:dyDescent="0.3">
      <c r="A80" s="3">
        <v>600089</v>
      </c>
      <c r="B80" s="8">
        <v>6253500763454</v>
      </c>
      <c r="C80" s="3" t="s">
        <v>94</v>
      </c>
      <c r="D80" s="11">
        <v>12</v>
      </c>
      <c r="E80" s="5">
        <v>9.25</v>
      </c>
      <c r="F80" s="17">
        <f t="shared" si="2"/>
        <v>0.66451149425287359</v>
      </c>
      <c r="G80" s="5">
        <f t="shared" si="3"/>
        <v>0.77083333333333337</v>
      </c>
    </row>
    <row r="81" spans="1:7" ht="23.4" customHeight="1" x14ac:dyDescent="0.3">
      <c r="A81" s="3">
        <v>600088</v>
      </c>
      <c r="B81" s="8">
        <v>6253500763652</v>
      </c>
      <c r="C81" s="3" t="s">
        <v>95</v>
      </c>
      <c r="D81" s="11">
        <v>12</v>
      </c>
      <c r="E81" s="5">
        <v>9.25</v>
      </c>
      <c r="F81" s="17">
        <f t="shared" si="2"/>
        <v>0.66451149425287359</v>
      </c>
      <c r="G81" s="5">
        <f t="shared" si="3"/>
        <v>0.77083333333333337</v>
      </c>
    </row>
    <row r="82" spans="1:7" ht="23.4" customHeight="1" x14ac:dyDescent="0.3">
      <c r="A82" s="3">
        <v>600037</v>
      </c>
      <c r="B82" s="8">
        <v>6253011995528</v>
      </c>
      <c r="C82" s="3" t="s">
        <v>105</v>
      </c>
      <c r="D82" s="11">
        <v>4</v>
      </c>
      <c r="E82" s="5">
        <v>8.9</v>
      </c>
      <c r="F82" s="17">
        <f t="shared" si="2"/>
        <v>1.9181034482758623</v>
      </c>
      <c r="G82" s="5">
        <f>E82/D82</f>
        <v>2.2250000000000001</v>
      </c>
    </row>
    <row r="83" spans="1:7" ht="23.4" customHeight="1" x14ac:dyDescent="0.3">
      <c r="A83" s="3">
        <v>600110</v>
      </c>
      <c r="B83" s="8">
        <v>6253500764383</v>
      </c>
      <c r="C83" s="3" t="s">
        <v>51</v>
      </c>
      <c r="D83" s="11">
        <v>4</v>
      </c>
      <c r="E83" s="5">
        <v>12.5</v>
      </c>
      <c r="F83" s="17">
        <f t="shared" si="2"/>
        <v>2.6939655172413794</v>
      </c>
      <c r="G83" s="5">
        <f t="shared" si="3"/>
        <v>3.125</v>
      </c>
    </row>
    <row r="84" spans="1:7" ht="23.4" customHeight="1" x14ac:dyDescent="0.3">
      <c r="A84" s="3">
        <v>600110</v>
      </c>
      <c r="B84" s="8">
        <v>6253500761696</v>
      </c>
      <c r="C84" s="3" t="s">
        <v>116</v>
      </c>
      <c r="D84" s="11">
        <v>4</v>
      </c>
      <c r="E84" s="5">
        <v>12.5</v>
      </c>
      <c r="F84" s="17">
        <f t="shared" si="2"/>
        <v>2.6939655172413794</v>
      </c>
      <c r="G84" s="5">
        <f t="shared" si="3"/>
        <v>3.125</v>
      </c>
    </row>
    <row r="85" spans="1:7" ht="23.4" customHeight="1" x14ac:dyDescent="0.3">
      <c r="A85" s="3">
        <v>400024</v>
      </c>
      <c r="B85" s="8">
        <v>6253500670125</v>
      </c>
      <c r="C85" s="3" t="s">
        <v>205</v>
      </c>
      <c r="D85" s="11">
        <v>12</v>
      </c>
      <c r="E85" s="5">
        <v>8.25</v>
      </c>
      <c r="F85" s="17">
        <f t="shared" si="2"/>
        <v>0.59267241379310354</v>
      </c>
      <c r="G85" s="5">
        <f t="shared" si="3"/>
        <v>0.6875</v>
      </c>
    </row>
    <row r="86" spans="1:7" ht="23.4" customHeight="1" x14ac:dyDescent="0.3">
      <c r="A86" s="3">
        <v>400022</v>
      </c>
      <c r="B86" s="8">
        <v>6253500760408</v>
      </c>
      <c r="C86" s="3" t="s">
        <v>107</v>
      </c>
      <c r="D86" s="11">
        <v>12</v>
      </c>
      <c r="E86" s="5">
        <v>15.3</v>
      </c>
      <c r="F86" s="17">
        <f t="shared" si="2"/>
        <v>1.0991379310344829</v>
      </c>
      <c r="G86" s="5">
        <f t="shared" si="3"/>
        <v>1.2750000000000001</v>
      </c>
    </row>
    <row r="87" spans="1:7" ht="23.4" customHeight="1" x14ac:dyDescent="0.3">
      <c r="A87" s="3">
        <v>200028</v>
      </c>
      <c r="B87" s="8">
        <v>6253500760323</v>
      </c>
      <c r="C87" s="3" t="s">
        <v>106</v>
      </c>
      <c r="D87" s="11">
        <v>12</v>
      </c>
      <c r="E87" s="5">
        <v>15.3</v>
      </c>
      <c r="F87" s="17">
        <f t="shared" si="2"/>
        <v>1.0991379310344829</v>
      </c>
      <c r="G87" s="5">
        <f>E87/D87</f>
        <v>1.2750000000000001</v>
      </c>
    </row>
    <row r="88" spans="1:7" ht="23.4" customHeight="1" x14ac:dyDescent="0.3">
      <c r="A88" s="3">
        <v>400003</v>
      </c>
      <c r="B88" s="8">
        <v>6253500760378</v>
      </c>
      <c r="C88" s="3" t="s">
        <v>211</v>
      </c>
      <c r="D88" s="11">
        <v>12</v>
      </c>
      <c r="E88" s="5">
        <v>15.3</v>
      </c>
      <c r="F88" s="17">
        <f t="shared" si="2"/>
        <v>1.0991379310344829</v>
      </c>
      <c r="G88" s="5">
        <f>E88/D88</f>
        <v>1.2750000000000001</v>
      </c>
    </row>
    <row r="89" spans="1:7" ht="23.4" customHeight="1" x14ac:dyDescent="0.3">
      <c r="A89" s="3">
        <v>400020</v>
      </c>
      <c r="B89" s="8">
        <v>621102391127</v>
      </c>
      <c r="C89" s="3" t="s">
        <v>112</v>
      </c>
      <c r="D89" s="11">
        <v>24</v>
      </c>
      <c r="E89" s="5">
        <v>16.8</v>
      </c>
      <c r="F89" s="17">
        <f t="shared" si="2"/>
        <v>0.60344827586206906</v>
      </c>
      <c r="G89" s="5">
        <f t="shared" si="3"/>
        <v>0.70000000000000007</v>
      </c>
    </row>
    <row r="90" spans="1:7" ht="23.4" customHeight="1" x14ac:dyDescent="0.3">
      <c r="A90" s="13">
        <v>600034</v>
      </c>
      <c r="B90" s="8">
        <v>6253500761412</v>
      </c>
      <c r="C90" s="3" t="s">
        <v>98</v>
      </c>
      <c r="D90" s="11">
        <v>8</v>
      </c>
      <c r="E90" s="5">
        <v>15.5</v>
      </c>
      <c r="F90" s="17">
        <f t="shared" si="2"/>
        <v>1.6702586206896552</v>
      </c>
      <c r="G90" s="5">
        <f t="shared" si="3"/>
        <v>1.9375</v>
      </c>
    </row>
    <row r="91" spans="1:7" ht="23.4" customHeight="1" x14ac:dyDescent="0.3">
      <c r="A91" s="13">
        <v>600129</v>
      </c>
      <c r="B91" s="8">
        <v>6211023913527</v>
      </c>
      <c r="C91" s="3" t="s">
        <v>117</v>
      </c>
      <c r="D91" s="11">
        <v>4</v>
      </c>
      <c r="E91" s="5">
        <v>13.5</v>
      </c>
      <c r="F91" s="17">
        <f t="shared" si="2"/>
        <v>2.9094827586206899</v>
      </c>
      <c r="G91" s="5">
        <f t="shared" si="3"/>
        <v>3.375</v>
      </c>
    </row>
    <row r="92" spans="1:7" ht="23.4" customHeight="1" x14ac:dyDescent="0.3">
      <c r="A92" s="13">
        <v>600136</v>
      </c>
      <c r="B92" s="8">
        <v>6253500765533</v>
      </c>
      <c r="C92" s="3" t="s">
        <v>118</v>
      </c>
      <c r="D92" s="11">
        <v>1</v>
      </c>
      <c r="E92" s="5">
        <v>6.25</v>
      </c>
      <c r="F92" s="17">
        <f t="shared" si="2"/>
        <v>5.3879310344827589</v>
      </c>
      <c r="G92" s="5">
        <f t="shared" si="3"/>
        <v>6.25</v>
      </c>
    </row>
    <row r="93" spans="1:7" ht="23.4" customHeight="1" x14ac:dyDescent="0.3">
      <c r="A93" s="3">
        <v>600127</v>
      </c>
      <c r="B93" s="8">
        <v>6253500765175</v>
      </c>
      <c r="C93" s="3" t="s">
        <v>99</v>
      </c>
      <c r="D93" s="11">
        <v>1</v>
      </c>
      <c r="E93" s="5">
        <v>10.75</v>
      </c>
      <c r="F93" s="17">
        <f t="shared" si="2"/>
        <v>9.2672413793103452</v>
      </c>
      <c r="G93" s="5">
        <f t="shared" si="3"/>
        <v>10.75</v>
      </c>
    </row>
    <row r="94" spans="1:7" ht="23.4" customHeight="1" x14ac:dyDescent="0.3">
      <c r="A94" s="3">
        <v>200027</v>
      </c>
      <c r="B94" s="8">
        <v>6253500765519</v>
      </c>
      <c r="C94" s="3" t="s">
        <v>100</v>
      </c>
      <c r="D94" s="11">
        <v>12</v>
      </c>
      <c r="E94" s="5">
        <v>15.25</v>
      </c>
      <c r="F94" s="17">
        <f t="shared" si="2"/>
        <v>1.0955459770114944</v>
      </c>
      <c r="G94" s="5">
        <f t="shared" si="3"/>
        <v>1.2708333333333333</v>
      </c>
    </row>
    <row r="95" spans="1:7" ht="23.4" customHeight="1" x14ac:dyDescent="0.3">
      <c r="A95" s="3">
        <v>200028</v>
      </c>
      <c r="B95" s="8">
        <v>6253500765526</v>
      </c>
      <c r="C95" s="3" t="s">
        <v>101</v>
      </c>
      <c r="D95" s="11">
        <v>12</v>
      </c>
      <c r="E95" s="5">
        <v>15.25</v>
      </c>
      <c r="F95" s="17">
        <f t="shared" si="2"/>
        <v>1.0955459770114944</v>
      </c>
      <c r="G95" s="5">
        <f t="shared" si="3"/>
        <v>1.2708333333333333</v>
      </c>
    </row>
  </sheetData>
  <pageMargins left="0" right="0.7" top="0" bottom="0.75" header="0.3" footer="0.3"/>
  <pageSetup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Re&amp;Whol Promo</vt:lpstr>
      <vt:lpstr>Price LIst</vt:lpstr>
      <vt:lpstr>ملاح</vt:lpstr>
      <vt:lpstr>Order (2)</vt:lpstr>
      <vt:lpstr>Order</vt:lpstr>
      <vt:lpstr>العقرباوي مول</vt:lpstr>
      <vt:lpstr>Order!Print_Area</vt:lpstr>
      <vt:lpstr>'Order (2)'!Print_Area</vt:lpstr>
      <vt:lpstr>ملاح!Print_Area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Le26</dc:creator>
  <cp:lastModifiedBy>Le26</cp:lastModifiedBy>
  <cp:lastPrinted>2026-08-10T05:29:56Z</cp:lastPrinted>
  <dcterms:created xsi:type="dcterms:W3CDTF">2026-05-06T06:53:22Z</dcterms:created>
  <dcterms:modified xsi:type="dcterms:W3CDTF">2026-08-10T13:52:09Z</dcterms:modified>
</cp:coreProperties>
</file>